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Shishulya/Desktop/СЛОПЛАСТ/"/>
    </mc:Choice>
  </mc:AlternateContent>
  <xr:revisionPtr revIDLastSave="0" documentId="13_ncr:1_{93B8FA4A-E8B6-904B-BDFE-ADAD747DC7C1}" xr6:coauthVersionLast="47" xr6:coauthVersionMax="47" xr10:uidLastSave="{00000000-0000-0000-0000-000000000000}"/>
  <bookViews>
    <workbookView xWindow="0" yWindow="500" windowWidth="19420" windowHeight="11500" tabRatio="668" xr2:uid="{00000000-000D-0000-FFFF-FFFF00000000}"/>
  </bookViews>
  <sheets>
    <sheet name="Связи" sheetId="3" r:id="rId1"/>
    <sheet name="b_crm_deal" sheetId="5" r:id="rId2"/>
    <sheet name="b_uts_crm_deal" sheetId="6" r:id="rId3"/>
    <sheet name="doc_OrderSales" sheetId="7" r:id="rId4"/>
    <sheet name="doc_Sales" sheetId="10" r:id="rId5"/>
    <sheet name="spr_partners" sheetId="12" r:id="rId6"/>
  </sheets>
  <definedNames>
    <definedName name="_xlnm._FilterDatabase" localSheetId="2" hidden="1">b_uts_crm_deal!$A$1:$IP$32</definedName>
    <definedName name="_xlnm._FilterDatabase" localSheetId="4" hidden="1">doc_Sales!$A$1:$AJ$120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2" i="6"/>
</calcChain>
</file>

<file path=xl/sharedStrings.xml><?xml version="1.0" encoding="utf-8"?>
<sst xmlns="http://schemas.openxmlformats.org/spreadsheetml/2006/main" count="4981" uniqueCount="1369">
  <si>
    <t>ID</t>
  </si>
  <si>
    <t>TITLE</t>
  </si>
  <si>
    <t>ASSIGNED_BY_ID</t>
  </si>
  <si>
    <t>DATE_CREATE</t>
  </si>
  <si>
    <t>Группа стадий</t>
  </si>
  <si>
    <t>Стадия крупно</t>
  </si>
  <si>
    <t>b_crm_deal_category.NAME.1</t>
  </si>
  <si>
    <t>b_crm_status.NAME</t>
  </si>
  <si>
    <t>Потенциал дата</t>
  </si>
  <si>
    <t>b_crm_company.TITLE</t>
  </si>
  <si>
    <t>b_crm_company.Ответственный за клиента</t>
  </si>
  <si>
    <t>b_crm_deal_category.NAME</t>
  </si>
  <si>
    <t>LAST_ACTIVITY_TIME</t>
  </si>
  <si>
    <t>MOVED_TIME</t>
  </si>
  <si>
    <t>Для проверки</t>
  </si>
  <si>
    <t>Ответственный</t>
  </si>
  <si>
    <t>Потенциал с конверсией</t>
  </si>
  <si>
    <t>Потенциал сумма</t>
  </si>
  <si>
    <t>b_crm_company.ID</t>
  </si>
  <si>
    <t>COMPANY_ID</t>
  </si>
  <si>
    <t>Прогноз март 2026</t>
  </si>
  <si>
    <t>Прогноз апрель 2026</t>
  </si>
  <si>
    <t>Сумма с согласовании заказа</t>
  </si>
  <si>
    <t>Сумма в производстве</t>
  </si>
  <si>
    <t>Сумма отгружено</t>
  </si>
  <si>
    <t>Сумма в КП</t>
  </si>
  <si>
    <t>Срок перехода</t>
  </si>
  <si>
    <t>Просрочка</t>
  </si>
  <si>
    <t>Ссылка</t>
  </si>
  <si>
    <t>Год</t>
  </si>
  <si>
    <t>Стандарт/Проект</t>
  </si>
  <si>
    <t>Ответсвенный для прогноза</t>
  </si>
  <si>
    <t>null</t>
  </si>
  <si>
    <t>Лидогенерация</t>
  </si>
  <si>
    <t>Не просрочена</t>
  </si>
  <si>
    <t>В очереди</t>
  </si>
  <si>
    <t>Технический</t>
  </si>
  <si>
    <t>Выставление счета</t>
  </si>
  <si>
    <t>Проверка объекта</t>
  </si>
  <si>
    <t>Передан в ДИ</t>
  </si>
  <si>
    <t>Передан дилеру</t>
  </si>
  <si>
    <t>Новая сделка</t>
  </si>
  <si>
    <t>Виртус</t>
  </si>
  <si>
    <t>ТОО "Еврофасад"</t>
  </si>
  <si>
    <t>Согласование отгрузки</t>
  </si>
  <si>
    <t>Тисса</t>
  </si>
  <si>
    <t>ТД ВДС</t>
  </si>
  <si>
    <t>Велесстрой</t>
  </si>
  <si>
    <t>КП сформировано</t>
  </si>
  <si>
    <t>Офис СБЕР</t>
  </si>
  <si>
    <t>Премьер Групп</t>
  </si>
  <si>
    <t>Передан в КТО</t>
  </si>
  <si>
    <t>ЛитТрансСервис</t>
  </si>
  <si>
    <t>Формирование КП</t>
  </si>
  <si>
    <t>Сбор информации</t>
  </si>
  <si>
    <t>Активные продажи</t>
  </si>
  <si>
    <t>Квалификация</t>
  </si>
  <si>
    <t>Иванов П.С.</t>
  </si>
  <si>
    <t>Нет</t>
  </si>
  <si>
    <t>Проект</t>
  </si>
  <si>
    <t>Петрова Е.В.</t>
  </si>
  <si>
    <t>Козлов Д.Д.</t>
  </si>
  <si>
    <t>Инжиниринг</t>
  </si>
  <si>
    <t>Сидоров В.В.</t>
  </si>
  <si>
    <t>Логистика</t>
  </si>
  <si>
    <t>Соколова И.М.</t>
  </si>
  <si>
    <t>Запуск в производство</t>
  </si>
  <si>
    <t>Новикова А.В.</t>
  </si>
  <si>
    <t>Стандарт</t>
  </si>
  <si>
    <t>Дизайн-интерьеры</t>
  </si>
  <si>
    <t>СтройКомплект</t>
  </si>
  <si>
    <t>Орлова Т.В.</t>
  </si>
  <si>
    <t>VALUE_ID</t>
  </si>
  <si>
    <t>UF_CRM_1770214651</t>
  </si>
  <si>
    <t>Прогноз продаж март 2026</t>
  </si>
  <si>
    <t>Прогноз продаж апрель 2026</t>
  </si>
  <si>
    <t>НомерЗК</t>
  </si>
  <si>
    <t>№ ЗК</t>
  </si>
  <si>
    <t>№ КП</t>
  </si>
  <si>
    <t>doc_OrderSales (в производстве для сделок).Сумма</t>
  </si>
  <si>
    <t>doc_OrderSales (в производстве для сделок).Ожидаемая дата производства</t>
  </si>
  <si>
    <t>doc_Sales (отгружено для сделок).Сумма</t>
  </si>
  <si>
    <t>doc_Sales (отгружено для сделок).Дата отгрузки</t>
  </si>
  <si>
    <t>doc_Comm_offer (для сделок).Сумма КП</t>
  </si>
  <si>
    <t>ЗСУП-000768_2026</t>
  </si>
  <si>
    <t>ЗСУП-000768</t>
  </si>
  <si>
    <t>ЗСУП-000715_2026</t>
  </si>
  <si>
    <t>ЗСУП-000715</t>
  </si>
  <si>
    <t>ЗСУП-000707_2026</t>
  </si>
  <si>
    <t>ЗСУП-000707</t>
  </si>
  <si>
    <t>ЗСУП-000770_2026</t>
  </si>
  <si>
    <t>ЗСУП-000770</t>
  </si>
  <si>
    <t>ЗСУП-000716_2026</t>
  </si>
  <si>
    <t>ЗСУП-000716</t>
  </si>
  <si>
    <t>ЗСУП-000851_2026</t>
  </si>
  <si>
    <t>ЗСУП-000851</t>
  </si>
  <si>
    <t>ЗСУП-000918_2026</t>
  </si>
  <si>
    <t>ЗСУП-000918</t>
  </si>
  <si>
    <t>ЗСУП-000869_2026</t>
  </si>
  <si>
    <t>ЗСУП-000869</t>
  </si>
  <si>
    <t>ЗСУП-000664</t>
  </si>
  <si>
    <t>ЗСУП-000824_2026</t>
  </si>
  <si>
    <t>ЗСУП-000824</t>
  </si>
  <si>
    <t>ЗСУП-000263</t>
  </si>
  <si>
    <t>ЗСУП-000812_2026</t>
  </si>
  <si>
    <t>ЗСУП-000812</t>
  </si>
  <si>
    <t>ЗСУП-00</t>
  </si>
  <si>
    <t>ЗСУП-000564_2026</t>
  </si>
  <si>
    <t>ЗСУП-000564</t>
  </si>
  <si>
    <t>ЗСУП-000410</t>
  </si>
  <si>
    <t>ЗСУП-000660</t>
  </si>
  <si>
    <t>ЗСУП-000882_2026</t>
  </si>
  <si>
    <t>ЗСУП-000882</t>
  </si>
  <si>
    <t>ЗСУП-000249_2026</t>
  </si>
  <si>
    <t>ЗСУП-000249</t>
  </si>
  <si>
    <t>ЗСУП-000657</t>
  </si>
  <si>
    <t>ЗСУП-000523</t>
  </si>
  <si>
    <t>ЗСУП-000355</t>
  </si>
  <si>
    <t>ЗСУП-000649</t>
  </si>
  <si>
    <t>ЗСУП-000609_2026</t>
  </si>
  <si>
    <t>ЗСУП-000609</t>
  </si>
  <si>
    <t>ЗСУП-000608</t>
  </si>
  <si>
    <t>ЗСУП-000668</t>
  </si>
  <si>
    <t>Алексвит</t>
  </si>
  <si>
    <t>ЗСУП-000524</t>
  </si>
  <si>
    <t>ЗСУП-000399</t>
  </si>
  <si>
    <t>Проектирование</t>
  </si>
  <si>
    <t>ЗСУП-000606</t>
  </si>
  <si>
    <t>ЗСУП-000481</t>
  </si>
  <si>
    <t>ЗСУП-000929</t>
  </si>
  <si>
    <t>ЗСУП-000592</t>
  </si>
  <si>
    <t>Жилой комплекс "Курский"</t>
  </si>
  <si>
    <t>Строительство</t>
  </si>
  <si>
    <t>OK</t>
  </si>
  <si>
    <t>Алексеева М.И.</t>
  </si>
  <si>
    <t>https://crm.example.com/deal/57250</t>
  </si>
  <si>
    <t>Сибур, Анапа (дозаказ)</t>
  </si>
  <si>
    <t>Фасад-Строй</t>
  </si>
  <si>
    <t>Васильева К.А.</t>
  </si>
  <si>
    <t>В производстве</t>
  </si>
  <si>
    <t>Сергеева Н.В.</t>
  </si>
  <si>
    <t>https://crm.example.com/deal/57249</t>
  </si>
  <si>
    <t>Артек (дозаказ)</t>
  </si>
  <si>
    <t>Каримова Д.Р.</t>
  </si>
  <si>
    <t>https://crm.example.com/deal/57248</t>
  </si>
  <si>
    <t>Сибур, Анапа (двери)</t>
  </si>
  <si>
    <t>https://crm.example.com/deal/57247</t>
  </si>
  <si>
    <t>Стандартные отгрузки "РесторанСервис"</t>
  </si>
  <si>
    <t>РесторанСервис</t>
  </si>
  <si>
    <t>Родина Т.В.</t>
  </si>
  <si>
    <t>https://crm.example.com/deal/57246</t>
  </si>
  <si>
    <t>HPL панели, г. Москва</t>
  </si>
  <si>
    <t>https://crm.example.com/deal/57245</t>
  </si>
  <si>
    <t>Бизнес-центр "Вперед"</t>
  </si>
  <si>
    <t>https://crm.example.com/deal/57244</t>
  </si>
  <si>
    <t>Входящий звонок (дилер)</t>
  </si>
  <si>
    <t>Успешно</t>
  </si>
  <si>
    <t>https://crm.example.com/deal/57243</t>
  </si>
  <si>
    <t>Частный дом, Казахстан</t>
  </si>
  <si>
    <t>https://crm.example.com/deal/57242</t>
  </si>
  <si>
    <t>РБС Групп (двери)</t>
  </si>
  <si>
    <t>РБС Групп</t>
  </si>
  <si>
    <t>Подтвержден</t>
  </si>
  <si>
    <t>https://crm.example.com/deal/57241</t>
  </si>
  <si>
    <t>Спа-центр "Коприно"</t>
  </si>
  <si>
    <t>https://crm.example.com/deal/57240</t>
  </si>
  <si>
    <t>Стандартные отгрузки "Веста-Краснодар"</t>
  </si>
  <si>
    <t>Веста-Краснодар</t>
  </si>
  <si>
    <t>Горин А.Н.</t>
  </si>
  <si>
    <t>https://crm.example.com/deal/57239</t>
  </si>
  <si>
    <t>Рентгенозащитные двери</t>
  </si>
  <si>
    <t>СтройДизайн</t>
  </si>
  <si>
    <t>https://crm.example.com/deal/57238</t>
  </si>
  <si>
    <t>Откосы для КПП больниц</t>
  </si>
  <si>
    <t>Отгружено</t>
  </si>
  <si>
    <t>https://crm.example.com/deal/57237</t>
  </si>
  <si>
    <t>Центр детской онкологии, Беларусь</t>
  </si>
  <si>
    <t>Строительство СНГ</t>
  </si>
  <si>
    <t>https://crm.example.com/deal/57236</t>
  </si>
  <si>
    <t>Мебель для библиотеки Орска</t>
  </si>
  <si>
    <t>ЦБС Орска</t>
  </si>
  <si>
    <t>https://crm.example.com/deal/57235</t>
  </si>
  <si>
    <t>Аналитприбор, заказ 882</t>
  </si>
  <si>
    <t>Аналитприбор</t>
  </si>
  <si>
    <t>https://crm.example.com/deal/57234</t>
  </si>
  <si>
    <t>ВДС, дозаказ</t>
  </si>
  <si>
    <t>Частичная оплата</t>
  </si>
  <si>
    <t>https://crm.example.com/deal/57233</t>
  </si>
  <si>
    <t>Лабораторная мебель для Апатит</t>
  </si>
  <si>
    <t>https://crm.example.com/deal/57232</t>
  </si>
  <si>
    <t>Двери/откосы для КПП (успешно)</t>
  </si>
  <si>
    <t>https://crm.example.com/deal/57231</t>
  </si>
  <si>
    <t>Заявка (Офис СБЕР)</t>
  </si>
  <si>
    <t>Ормонбеков А.</t>
  </si>
  <si>
    <t>https://crm.example.com/deal/57230</t>
  </si>
  <si>
    <t>КПП для ГКБ Ерамишанцева (дозаказ)</t>
  </si>
  <si>
    <t>Есть КП</t>
  </si>
  <si>
    <t>https://crm.example.com/deal/57229</t>
  </si>
  <si>
    <t>https://crm.example.com/deal/57228</t>
  </si>
  <si>
    <t>Стандартные отгрузки "Премьер Групп"</t>
  </si>
  <si>
    <t>https://crm.example.com/deal/57227</t>
  </si>
  <si>
    <t>Мебель для вагона 4460</t>
  </si>
  <si>
    <t>Транспорт</t>
  </si>
  <si>
    <t>КСК МК</t>
  </si>
  <si>
    <t>Попкова А.С.</t>
  </si>
  <si>
    <t>https://crm.example.com/deal/57226</t>
  </si>
  <si>
    <t>Столешницы (ЛитТрансСервис)</t>
  </si>
  <si>
    <t>Отгрузка в кредит</t>
  </si>
  <si>
    <t>Ожидание оплаты</t>
  </si>
  <si>
    <t>https://crm.example.com/deal/57225</t>
  </si>
  <si>
    <t>Панели (Тверской экспресс)</t>
  </si>
  <si>
    <t>https://crm.example.com/deal/57224</t>
  </si>
  <si>
    <t>КСК МК (столешницы из наличия)</t>
  </si>
  <si>
    <t>https://crm.example.com/deal/57223</t>
  </si>
  <si>
    <t>Менеджер - Ответсвенный для прогноза (b_crm_deal)</t>
  </si>
  <si>
    <t>План - Потенциал сумма (b_crm_deal)</t>
  </si>
  <si>
    <t>ЗСУП-000936_2026</t>
  </si>
  <si>
    <t>ЗСУП-000936</t>
  </si>
  <si>
    <t>ЗСУП-000911_2026</t>
  </si>
  <si>
    <t>ЗСУП-000911</t>
  </si>
  <si>
    <t>ЗСУП-000919</t>
  </si>
  <si>
    <t>base</t>
  </si>
  <si>
    <t>dt</t>
  </si>
  <si>
    <t>id_1c</t>
  </si>
  <si>
    <t>Name</t>
  </si>
  <si>
    <t>Number</t>
  </si>
  <si>
    <t>NumberExt</t>
  </si>
  <si>
    <t>Date</t>
  </si>
  <si>
    <t>Posted</t>
  </si>
  <si>
    <t>IsDelete</t>
  </si>
  <si>
    <t>vid_oper</t>
  </si>
  <si>
    <t>Priority</t>
  </si>
  <si>
    <t>organisation_id_1с</t>
  </si>
  <si>
    <t>status</t>
  </si>
  <si>
    <t>phersons_id_1с</t>
  </si>
  <si>
    <t>phersons_name</t>
  </si>
  <si>
    <t>author_id_1c</t>
  </si>
  <si>
    <t>author_name</t>
  </si>
  <si>
    <t>Partner_id</t>
  </si>
  <si>
    <t>contractor_id_1с</t>
  </si>
  <si>
    <t>agreement_id_1с</t>
  </si>
  <si>
    <t>covenant_id_1c</t>
  </si>
  <si>
    <t>department_id_1c</t>
  </si>
  <si>
    <t>condition</t>
  </si>
  <si>
    <t>Nomenclature_id_1c</t>
  </si>
  <si>
    <t>UnitStore</t>
  </si>
  <si>
    <t>UnitReport</t>
  </si>
  <si>
    <t>store_id_1c</t>
  </si>
  <si>
    <t>store_name</t>
  </si>
  <si>
    <t>Quantity</t>
  </si>
  <si>
    <t>Amount</t>
  </si>
  <si>
    <t>QuantityUnitReport</t>
  </si>
  <si>
    <t>QuantityWeight</t>
  </si>
  <si>
    <t>VidNomenclature</t>
  </si>
  <si>
    <t>Date_shipment</t>
  </si>
  <si>
    <t>SecurityOption</t>
  </si>
  <si>
    <t>pos_cancelled</t>
  </si>
  <si>
    <t>Price_plan</t>
  </si>
  <si>
    <t>Amount_plan</t>
  </si>
  <si>
    <t>Price_Dop</t>
  </si>
  <si>
    <t>percent_Action</t>
  </si>
  <si>
    <t>Amount_Action</t>
  </si>
  <si>
    <t>percent_Dop</t>
  </si>
  <si>
    <t>vid_price</t>
  </si>
  <si>
    <t>Price</t>
  </si>
  <si>
    <t>direction</t>
  </si>
  <si>
    <t>Ref_1C</t>
  </si>
  <si>
    <t>reason_cancelled</t>
  </si>
  <si>
    <t>id_1c_doc_Comm_offer</t>
  </si>
  <si>
    <t>spr_nomenclature.Name</t>
  </si>
  <si>
    <t>spr_nomenclature.Группы ном</t>
  </si>
  <si>
    <t>Копия Date</t>
  </si>
  <si>
    <t>Сведение</t>
  </si>
  <si>
    <t>ERP</t>
  </si>
  <si>
    <t>Реализация</t>
  </si>
  <si>
    <t>Средний</t>
  </si>
  <si>
    <t>9e38a44e-b7d0-11e7-a547-f6d178db6df1</t>
  </si>
  <si>
    <t>Закрыт</t>
  </si>
  <si>
    <t>59599dd2-c972-11ed-8109-00155d000d00</t>
  </si>
  <si>
    <t>Стальберг Елена Александровна</t>
  </si>
  <si>
    <t>fb9d6cbe-e968-11e7-80e4-00155d000d00</t>
  </si>
  <si>
    <t>f6cbecfd-f367-11e8-9fe3-d000e1470f5d</t>
  </si>
  <si>
    <t>6abd010e-f3bc-11e8-9fe3-d000e1470f5d</t>
  </si>
  <si>
    <t>54206bf8-fefd-11ea-ab46-0cc47af964e9</t>
  </si>
  <si>
    <t>55c87efc-b566-11e7-a547-f6d178db6df1</t>
  </si>
  <si>
    <t>000386a5-cb7d-11e7-80e3-00155d000d00</t>
  </si>
  <si>
    <t>лист</t>
  </si>
  <si>
    <t>м2</t>
  </si>
  <si>
    <t>f027a6ed-b812-11e7-a547-f6d178db6df1</t>
  </si>
  <si>
    <t>Склад МО (Мытищи)</t>
  </si>
  <si>
    <t>103 020,00</t>
  </si>
  <si>
    <t>Слопласт</t>
  </si>
  <si>
    <t>Отгрузить</t>
  </si>
  <si>
    <t>С4</t>
  </si>
  <si>
    <t>8 585,00</t>
  </si>
  <si>
    <t>00000000-0000-0000-0000-000000000000</t>
  </si>
  <si>
    <t>ЗСУП-003412_2 025</t>
  </si>
  <si>
    <t>ЗСУП-003776_2 025</t>
  </si>
  <si>
    <t>ЗСУП-000370</t>
  </si>
  <si>
    <t>1183abdf-18c3-11e9-ab3f-0cc47af964e9</t>
  </si>
  <si>
    <t>609d494f-b566-11e7-a547-f6d178db6df1</t>
  </si>
  <si>
    <t>ЗСУП-000370_2 026</t>
  </si>
  <si>
    <t>На согласовании</t>
  </si>
  <si>
    <t>5b3155c0-23a7-11e5-80ca-00155d000d00</t>
  </si>
  <si>
    <t>Новинская Светлана Анатольевна</t>
  </si>
  <si>
    <t>7ada799d-7cef-11f0-a009-00155d81c805</t>
  </si>
  <si>
    <t>Ипатова Анна Юрьевна</t>
  </si>
  <si>
    <t>061dcbcf-02e8-11eb-ab46-0cc47af964e9</t>
  </si>
  <si>
    <t>Ожидается согласование</t>
  </si>
  <si>
    <t>К обеспечению</t>
  </si>
  <si>
    <t>Стройка</t>
  </si>
  <si>
    <t>ЗСУП-000643_2 026</t>
  </si>
  <si>
    <t>0b990115-2b95-11e9-ab3f-0cc47af964e9</t>
  </si>
  <si>
    <t>bed902e8-43aa-11ec-ab50-0cc47af964e9</t>
  </si>
  <si>
    <t>44587403-d89a-11ef-ab69-0cc47af964e9</t>
  </si>
  <si>
    <t>1030044b-4135-11f0-ab6b-0cc47af964e9</t>
  </si>
  <si>
    <t>ЗСУП-000270_2 026</t>
  </si>
  <si>
    <t>Высокий</t>
  </si>
  <si>
    <t>fa6fadf3-b578-11e7-a547-f6d178db6df1</t>
  </si>
  <si>
    <t>Склад упаковки готовой продукции (ЗСП)</t>
  </si>
  <si>
    <t>ЗСУП-001865_2 025</t>
  </si>
  <si>
    <t>ЗСУП-003811_2 025</t>
  </si>
  <si>
    <t>К выполнению / В резерве</t>
  </si>
  <si>
    <t>bb146b31-1922-11eb-80f5-00155d000d00</t>
  </si>
  <si>
    <t>d51dce26-0c67-11ef-810e-00155d000d00</t>
  </si>
  <si>
    <t>Лебедева Елена Николаевна</t>
  </si>
  <si>
    <t>Слопласт Ф (/1320 х 3050 х 10,0/2/BITM/МТ/УФ/2754/1113Т//Н)</t>
  </si>
  <si>
    <t>узкий/BITM/Ф/МТ/(9.0-11.0)</t>
  </si>
  <si>
    <t>ЗСУП-004450_2 025</t>
  </si>
  <si>
    <t>ЗСУП-001729_2 025</t>
  </si>
  <si>
    <t>ЗСУП-000004_2 026</t>
  </si>
  <si>
    <t>ЗСУП-000321_2 026</t>
  </si>
  <si>
    <t>5e8bee44-e660-11e7-80e4-00155d000d00</t>
  </si>
  <si>
    <t>96f83f7d-0c87-11e9-ab3f-0cc47af964e9</t>
  </si>
  <si>
    <t>71f30c81-0c86-11e9-ab3f-0cc47af964e9</t>
  </si>
  <si>
    <t>39ef7673-0c94-11e9-ab3f-0cc47af964e9</t>
  </si>
  <si>
    <t>72cbdb73-82ec-11ee-ab63-0cc47af964e9</t>
  </si>
  <si>
    <t>898e199b-b566-11e7-a547-f6d178db6df1</t>
  </si>
  <si>
    <t>000a1b10-c8be-11ed-ab59-0cc47af964e9</t>
  </si>
  <si>
    <t>25dd4bf1-ec7b-11e7-80e4-00155d000d00</t>
  </si>
  <si>
    <t>Склад сырья и материалов (брак)</t>
  </si>
  <si>
    <t>56 948,38</t>
  </si>
  <si>
    <t>Декоративная бумага (пропитанная переработка)</t>
  </si>
  <si>
    <t>Прочие материалы</t>
  </si>
  <si>
    <t>ЗСУП-001594_2 025</t>
  </si>
  <si>
    <t>01d4de8c-6aaf-11ef-8110-00155d000d00</t>
  </si>
  <si>
    <t>Рожкова Софья Алексеевна</t>
  </si>
  <si>
    <t>bafef812-be80-11ee-ab64-0cc47af964e9</t>
  </si>
  <si>
    <t>Сидоренко Юлия Сергеевна</t>
  </si>
  <si>
    <t>Дилер_РФ</t>
  </si>
  <si>
    <t>Мебель</t>
  </si>
  <si>
    <t>ЗСУП-000700_2 026</t>
  </si>
  <si>
    <t>ЗСУП-001743_2 025</t>
  </si>
  <si>
    <t>deb389e3-b3c8-11ef-8111-00155d000d00</t>
  </si>
  <si>
    <t>Троицкая Мария Николаевна</t>
  </si>
  <si>
    <t>e534587a-e964-11e7-80e4-00155d000d00</t>
  </si>
  <si>
    <t>ada5d5f6-f367-11e8-9fe3-d000e1470f5d</t>
  </si>
  <si>
    <t>d79896b0-11a7-11ed-ab55-0cc47af964e9</t>
  </si>
  <si>
    <t>4bba30ca-29d6-11ed-ab55-0cc47af964e9</t>
  </si>
  <si>
    <t>13ca80d0-c09b-11e7-80e3-00155d000d00</t>
  </si>
  <si>
    <t>3 950,61</t>
  </si>
  <si>
    <t>Слопласт ТГ (/1570 х 3050 х 2,0/1/BITM/М//2760//Ш)</t>
  </si>
  <si>
    <t>широкий/BITM/ТГ/М/(2.0)</t>
  </si>
  <si>
    <t>c42f193e-01ce-11e9-ab3f-0cc47af964e9</t>
  </si>
  <si>
    <t>275aab44-f368-11e8-9fe3-d000e1470f5d</t>
  </si>
  <si>
    <t>695f4407-2bab-11ee-ab62-0cc47af964e9</t>
  </si>
  <si>
    <t>Ожидается обеспечение</t>
  </si>
  <si>
    <t>8870b4a7-f73b-11e6-80de-00155d000d00</t>
  </si>
  <si>
    <t>Козлова Мария Николаевна</t>
  </si>
  <si>
    <t>c2b02347-0c63-11ef-ab64-0cc47af964e9</t>
  </si>
  <si>
    <t>Касимова Карина Ринатовна</t>
  </si>
  <si>
    <t>c64f81c5-f924-11ed-ab5f-0cc47af964e9</t>
  </si>
  <si>
    <t>c64f81fe-f924-11ed-ab5f-0cc47af964e9</t>
  </si>
  <si>
    <t>69626225-8a26-11f0-99b7-00155dde6a00</t>
  </si>
  <si>
    <t>ab4b5364-f576-11ee-ab64-0cc47af964e9</t>
  </si>
  <si>
    <t>0013d1cd-3a4f-11e8-ab3d-0cc47af964e9</t>
  </si>
  <si>
    <t>шт</t>
  </si>
  <si>
    <t>30 318,00</t>
  </si>
  <si>
    <t>Материалы прочее</t>
  </si>
  <si>
    <t>ЗСУП-002651</t>
  </si>
  <si>
    <t>ЗСУП-002990</t>
  </si>
  <si>
    <t>05f2ed7a-4034-11ef-8110-00155d000d00</t>
  </si>
  <si>
    <t>Сорокина Инга Викторовна</t>
  </si>
  <si>
    <t>3cd61b03-e097-11f0-99b9-00155dde6a00</t>
  </si>
  <si>
    <t>037f533d-013b-11ef-ab64-0cc47af964e9</t>
  </si>
  <si>
    <t>Слопласт П (/1320 х 3050 х 0,5/BIPA/ТС//707//Ш)</t>
  </si>
  <si>
    <t>узкий/BIPA/П/ТС/(0.5-1.0)</t>
  </si>
  <si>
    <t>2a671c75-1d9b-11e2-a65b-0015171241a4</t>
  </si>
  <si>
    <t>Макаренко Мария Борисовна</t>
  </si>
  <si>
    <t>3fa69b08-b7a5-11e2-ae63-0015171241a4</t>
  </si>
  <si>
    <t>35ad1025-f36b-11e8-9fe3-d000e1470f5d</t>
  </si>
  <si>
    <t>1 620,00</t>
  </si>
  <si>
    <t>31844b91-355e-11de-8227-0015171241a4</t>
  </si>
  <si>
    <t>107108ee-f367-11e8-9fe3-d000e1470f5d</t>
  </si>
  <si>
    <t>09095034-f078-11f0-99b9-00155dde6a00</t>
  </si>
  <si>
    <t>2f3364f4-226a-11ea-ab44-0cc47af964e9</t>
  </si>
  <si>
    <t>19 440,00</t>
  </si>
  <si>
    <t>11 030,64</t>
  </si>
  <si>
    <t>43488cf5-8bcf-11ef-ab68-0cc47af964e9</t>
  </si>
  <si>
    <t>043fe15a-a8fe-11e3-a2e4-0015171241a4</t>
  </si>
  <si>
    <t>04e19795-f36b-11e8-9fe3-d000e1470f5d</t>
  </si>
  <si>
    <t>144db961-4be7-11ef-ab64-0cc47af964e9</t>
  </si>
  <si>
    <t>0d1dd908-1fa2-11ed-ab55-0cc47af964e9</t>
  </si>
  <si>
    <t>98eb8223-4986-11ef-ab64-0cc47af964e9</t>
  </si>
  <si>
    <t>52094fa9-769a-11eb-ab4c-0cc47af964e9</t>
  </si>
  <si>
    <t>f8e09145-5001-11ef-ab64-0cc47af964e9</t>
  </si>
  <si>
    <t>3ab8e4b6-0108-11f1-99b9-00155dde6a00</t>
  </si>
  <si>
    <t>fedaf6c0-f36a-11e8-9fe3-d000e1470f5d</t>
  </si>
  <si>
    <t>fedaf6c1-f36a-11e8-9fe3-d000e1470f5d</t>
  </si>
  <si>
    <t>e7ca0348-1978-11ed-ab55-0cc47af964e9</t>
  </si>
  <si>
    <t>b7d087c7-e096-11f0-99b9-00155dde6a00</t>
  </si>
  <si>
    <t>ЗСУП-001830</t>
  </si>
  <si>
    <t>5eb6a51c-cf2d-11ee-ab64-0cc47af964e9</t>
  </si>
  <si>
    <t>194970a4-6577-11ed-ab59-0cc47af964e9</t>
  </si>
  <si>
    <t>11 501,52</t>
  </si>
  <si>
    <t>296 200,00</t>
  </si>
  <si>
    <t>1 481,00</t>
  </si>
  <si>
    <t>78 792,00</t>
  </si>
  <si>
    <t>1 407,00</t>
  </si>
  <si>
    <t>17 772,00</t>
  </si>
  <si>
    <t>78d73f12-f36a-11e8-9fe3-d000e1470f5d</t>
  </si>
  <si>
    <t>78d73f13-f36a-11e8-9fe3-d000e1470f5d</t>
  </si>
  <si>
    <t>132ad76f-5aaa-11ed-ab58-0cc47af964e9</t>
  </si>
  <si>
    <t>8c0ae592-d13a-11ec-ab51-0cc47af964e9</t>
  </si>
  <si>
    <t>155 400,00</t>
  </si>
  <si>
    <t>1 295,00</t>
  </si>
  <si>
    <t>87 379,00</t>
  </si>
  <si>
    <t>124 320,00</t>
  </si>
  <si>
    <t>5 180,00</t>
  </si>
  <si>
    <t>16 291,00</t>
  </si>
  <si>
    <t>53 466,00</t>
  </si>
  <si>
    <t>59 570,00</t>
  </si>
  <si>
    <t>134 680,00</t>
  </si>
  <si>
    <t>38 850,00</t>
  </si>
  <si>
    <t>88 860,00</t>
  </si>
  <si>
    <t>14 810,00</t>
  </si>
  <si>
    <t>33 768,00</t>
  </si>
  <si>
    <t>fc4ae344-ad9b-11eb-ab4c-0cc47af964e9</t>
  </si>
  <si>
    <t>fc4ae347-ad9b-11eb-ab4c-0cc47af964e9</t>
  </si>
  <si>
    <t>aee0dded-e7be-11ef-ab6a-0cc47af964e9</t>
  </si>
  <si>
    <t>14 820,00</t>
  </si>
  <si>
    <t>1 235,00</t>
  </si>
  <si>
    <t>d4b6a1eb-e966-11e7-80e4-00155d000d00</t>
  </si>
  <si>
    <t>10710937-f367-11e8-9fe3-d000e1470f5d</t>
  </si>
  <si>
    <t>cd47eb5f-11a8-11ed-ab55-0cc47af964e9</t>
  </si>
  <si>
    <t>4ccadb70-2268-11ea-ab44-0cc47af964e9</t>
  </si>
  <si>
    <t>70 350,00</t>
  </si>
  <si>
    <t>142 176,00</t>
  </si>
  <si>
    <t>16 884,00</t>
  </si>
  <si>
    <t>50 652,00</t>
  </si>
  <si>
    <t>071e6556-c5f7-11f0-99b9-00155dde6a00</t>
  </si>
  <si>
    <t>102 189,00</t>
  </si>
  <si>
    <t>148 821,00</t>
  </si>
  <si>
    <t>1 317,00</t>
  </si>
  <si>
    <t>cc3a40a9-1ee5-11f1-99bb-00155dde6a00</t>
  </si>
  <si>
    <t>Заказ клиента ЗСУП-000882 от 13.03.2026 17:06:15</t>
  </si>
  <si>
    <t>7fc9daa0-066f-11f1-a014-00155d81c802</t>
  </si>
  <si>
    <t>Кулагина Анна Александровна</t>
  </si>
  <si>
    <t>1b556bc5-f368-11e8-9fe3-d000e1470f5d</t>
  </si>
  <si>
    <t>1b556bc6-f368-11e8-9fe3-d000e1470f5d</t>
  </si>
  <si>
    <t>3081c846-2107-11f1-99bb-00155dde6a00</t>
  </si>
  <si>
    <t>03ed5797-640e-11e8-ab3e-0cc47af964e9</t>
  </si>
  <si>
    <t>417 600,00</t>
  </si>
  <si>
    <t>31 988,29</t>
  </si>
  <si>
    <t>255 906,32</t>
  </si>
  <si>
    <t>С2</t>
  </si>
  <si>
    <t>52 200,00</t>
  </si>
  <si>
    <t>e1cib/data/Документ.ЗаказКлиента?ref=99bb00155dde6a0011f11ee5cc3a40a9</t>
  </si>
  <si>
    <t>Слопласт ТГ (/1570 х 3050 х 14,0/2/BITM/Т//2762/2762//Н)</t>
  </si>
  <si>
    <t>широкий/BITM/ТГ/Т/(13.0-25.0)</t>
  </si>
  <si>
    <t>7a9e79e3-22c5-11ed-ab55-0cc47af964e9</t>
  </si>
  <si>
    <t>dbbed476-bb09-11ec-ab50-0cc47af964e9</t>
  </si>
  <si>
    <t>d532e74f-22e8-11ed-ab55-0cc47af964e9</t>
  </si>
  <si>
    <t>d4764638-87cb-11f0-99b7-00155dde6a00</t>
  </si>
  <si>
    <t>1862f4f7-8a28-11f0-99b7-00155dde6a00</t>
  </si>
  <si>
    <t>Слопласт ТГ (/1570 х 3050 х 3,0/1/BITM/Т//688//Ш)</t>
  </si>
  <si>
    <t>широкий/BITM/ТГ/Т/(2.5-3.0)</t>
  </si>
  <si>
    <t>5 840,75</t>
  </si>
  <si>
    <t>f422c0a3-be06-11e6-80dc-00155d000d00</t>
  </si>
  <si>
    <t>0893a63f-048c-11ef-ab64-0cc47af964e9</t>
  </si>
  <si>
    <t>1 025,10</t>
  </si>
  <si>
    <t>1 558,00</t>
  </si>
  <si>
    <t>Слопласт П (/1320 х 3050 х 0,5/BIPA/Г//711//Ш)</t>
  </si>
  <si>
    <t>узкий/BIPA/П/Г/(0.5-1.0)</t>
  </si>
  <si>
    <t>296 432,00</t>
  </si>
  <si>
    <t>1 528,00</t>
  </si>
  <si>
    <t>49 368,00</t>
  </si>
  <si>
    <t>1 452,00</t>
  </si>
  <si>
    <t>79 860,00</t>
  </si>
  <si>
    <t>12 224,00</t>
  </si>
  <si>
    <t>e057ce73-f36b-11e8-9fe3-d000e1470f5d</t>
  </si>
  <si>
    <t>e057ce74-f36b-11e8-9fe3-d000e1470f5d</t>
  </si>
  <si>
    <t>d3fb935e-45ec-11f0-ab6b-0cc47af964e9</t>
  </si>
  <si>
    <t>4850fc4c-226d-11ea-ab44-0cc47af964e9</t>
  </si>
  <si>
    <t>21 504,00</t>
  </si>
  <si>
    <t>1 792,00</t>
  </si>
  <si>
    <t>44 132,00</t>
  </si>
  <si>
    <t>1 298,00</t>
  </si>
  <si>
    <t>15 288,00</t>
  </si>
  <si>
    <t>1 274,00</t>
  </si>
  <si>
    <t>50 820,00</t>
  </si>
  <si>
    <t>9a673e3c-e968-11e7-80e4-00155d000d00</t>
  </si>
  <si>
    <t>63c14d00-f368-11e8-9fe3-d000e1470f5d</t>
  </si>
  <si>
    <t>e75a859d-7b4c-11ef-ab68-0cc47af964e9</t>
  </si>
  <si>
    <t>7fe1a657-2268-11ea-ab44-0cc47af964e9</t>
  </si>
  <si>
    <t>18 336,00</t>
  </si>
  <si>
    <t>85 668,00</t>
  </si>
  <si>
    <t>161 968,00</t>
  </si>
  <si>
    <t>29 854,00</t>
  </si>
  <si>
    <t>84 000,00</t>
  </si>
  <si>
    <t>1 400,00</t>
  </si>
  <si>
    <t>50 400,00</t>
  </si>
  <si>
    <t>32 450,00</t>
  </si>
  <si>
    <t>13 752,00</t>
  </si>
  <si>
    <t>121 800,00</t>
  </si>
  <si>
    <t>236 840,00</t>
  </si>
  <si>
    <t>33 657,36</t>
  </si>
  <si>
    <t>1 529,88</t>
  </si>
  <si>
    <t>39 200,00</t>
  </si>
  <si>
    <t>11 200,00</t>
  </si>
  <si>
    <t>С3</t>
  </si>
  <si>
    <t>98 000,00</t>
  </si>
  <si>
    <t>90 364,00</t>
  </si>
  <si>
    <t>36 696,00</t>
  </si>
  <si>
    <t>1 529,00</t>
  </si>
  <si>
    <t>53 515,00</t>
  </si>
  <si>
    <t>163 496,00</t>
  </si>
  <si>
    <t>36 672,00</t>
  </si>
  <si>
    <t>151 008,00</t>
  </si>
  <si>
    <t>16 819,00</t>
  </si>
  <si>
    <t>43 008,00</t>
  </si>
  <si>
    <t>30 800,00</t>
  </si>
  <si>
    <t>181 832,00</t>
  </si>
  <si>
    <t>32 200,00</t>
  </si>
  <si>
    <t>110 600,00</t>
  </si>
  <si>
    <t>60 200,00</t>
  </si>
  <si>
    <t>36 903,60</t>
  </si>
  <si>
    <t>7c3ca0c6-c6ed-11e3-8894-0015171241a5</t>
  </si>
  <si>
    <t>6c972905-f36a-11e8-9fe3-d000e1470f5d</t>
  </si>
  <si>
    <t>bf6910b9-e175-11ef-ab6a-0cc47af964e9</t>
  </si>
  <si>
    <t>d5bcc2ca-e174-11ef-ab6a-0cc47af964e9</t>
  </si>
  <si>
    <t>008da890-d0f0-11f0-99b9-00155dde6a00</t>
  </si>
  <si>
    <t>16 058,00</t>
  </si>
  <si>
    <t>ГК</t>
  </si>
  <si>
    <t>32 116,00</t>
  </si>
  <si>
    <t>96 348,00</t>
  </si>
  <si>
    <t>11577069-090f-11ef-ab64-0cc47af964e9</t>
  </si>
  <si>
    <t>1 826,00</t>
  </si>
  <si>
    <t>1 835,00</t>
  </si>
  <si>
    <t>104 595,00</t>
  </si>
  <si>
    <t>58 432,00</t>
  </si>
  <si>
    <t>1 858,00</t>
  </si>
  <si>
    <t>159 788,00</t>
  </si>
  <si>
    <t>5 478,00</t>
  </si>
  <si>
    <t>ca842095-b338-11e8-80e7-00155d000d00</t>
  </si>
  <si>
    <t>Услуги по механической обработке</t>
  </si>
  <si>
    <t>0befe26b-e972-11e7-80e4-00155d000d00</t>
  </si>
  <si>
    <t>ЗСУП-003168</t>
  </si>
  <si>
    <t>b716f4dd-1588-11e9-ab3f-0cc47af964e9</t>
  </si>
  <si>
    <t>ЗСУП-002508</t>
  </si>
  <si>
    <t>ЗСУП-001920</t>
  </si>
  <si>
    <t>020a0fd1-ae0e-11e9-ab3f-0cc47af964e9</t>
  </si>
  <si>
    <t>18 182,41</t>
  </si>
  <si>
    <t>1 500,00</t>
  </si>
  <si>
    <t>8b5a65e0-1deb-411a-96fa-624d63b73692</t>
  </si>
  <si>
    <t>f96003e3-bd6d-4775-8d78-bb1e36db2ab9</t>
  </si>
  <si>
    <t>a2e2ba4e-cad0-11f0-99b9-00155dde6a00</t>
  </si>
  <si>
    <t>0ec8b5eb-3f94-11eb-ab49-0cc47af964e8</t>
  </si>
  <si>
    <t>172c0e88-0c9d-11e8-80e6-00155d000d00</t>
  </si>
  <si>
    <t>услуга</t>
  </si>
  <si>
    <t>9e0fa492-1906-11f0-ab6a-0cc47af964e9</t>
  </si>
  <si>
    <t>9e0fa4dd-1906-11f0-ab6a-0cc47af964e9</t>
  </si>
  <si>
    <t>085be1d1-c464-11f0-99b9-00155dde6a00</t>
  </si>
  <si>
    <t>326 930,00</t>
  </si>
  <si>
    <t>d73652cf-48e9-11eb-ab49-0cc47af964e8</t>
  </si>
  <si>
    <t>d73652d1-48e9-11eb-ab49-0cc47af964e8</t>
  </si>
  <si>
    <t>205 244,00</t>
  </si>
  <si>
    <t>266 030,00</t>
  </si>
  <si>
    <t>b00706c8-5e4e-11ec-ab50-0cc47af964e9</t>
  </si>
  <si>
    <t>b00706dc-5e4e-11ec-ab50-0cc47af964e9</t>
  </si>
  <si>
    <t>926ae3eb-cf8a-11f0-99b9-00155dde6a00</t>
  </si>
  <si>
    <t>212 040,00</t>
  </si>
  <si>
    <t>15 445,00</t>
  </si>
  <si>
    <t>258beace-a26f-11eb-ab4c-0cc47af964e9</t>
  </si>
  <si>
    <t>узкий/BITM/ТГ/МТ/(4.0)</t>
  </si>
  <si>
    <t>ЗСУП-003389</t>
  </si>
  <si>
    <t>886a2158-0bd4-11f1-99b9-00155dde6a00</t>
  </si>
  <si>
    <t>Заказ клиента ЗСУП-000524 от 12.03.2026 0:00:00</t>
  </si>
  <si>
    <t>ЗСУП-000524_2026</t>
  </si>
  <si>
    <t>0600068e-2127-45ca-91ca-271aa52dfc58</t>
  </si>
  <si>
    <t>48591ce1-a540-448b-9f0c-5fef704a3eba</t>
  </si>
  <si>
    <t>6b74db2f-0bd4-11f1-99b9-00155dde6a00</t>
  </si>
  <si>
    <t>030917fe-1900-11eb-ab48-0cc47af964e9</t>
  </si>
  <si>
    <t>828 928,00</t>
  </si>
  <si>
    <t>25 904,00</t>
  </si>
  <si>
    <t>e1cib/data/Документ.ЗаказКлиента?ref=99b900155dde6a0011f10bd4886a2158</t>
  </si>
  <si>
    <t>c66f8b60-0b1c-11f1-99b9-00155dde6a00</t>
  </si>
  <si>
    <t>Слопласт ТГ (/1320 х 3050 х 8,0/2/BITM/Т//2756/2756//Н)</t>
  </si>
  <si>
    <t>узкий/BITM/ТГ/Т/(8.0)</t>
  </si>
  <si>
    <t>узкий/BITM/ТГ/МТ/(8.0)</t>
  </si>
  <si>
    <t>ЗСУП-001990</t>
  </si>
  <si>
    <t>1033fcfb-f348-11ef-ab6a-0cc47af964e9</t>
  </si>
  <si>
    <t>Слопласт ТГ (/1320 х 3050 х 0,8/1/BITM/СД//9733//Ш)</t>
  </si>
  <si>
    <t>узкий/BITM/ТГ/СД/(0.5-1.0)</t>
  </si>
  <si>
    <t>5538e8d6-e24e-11f0-99b9-00155dde6a00</t>
  </si>
  <si>
    <t>b418c3b9-1636-11f1-99b9-00155dde6a00</t>
  </si>
  <si>
    <t>Заказ клиента ЗСУП-000707 от 02.03.2026 15:52:50</t>
  </si>
  <si>
    <t>320acb99-1637-11f1-99b9-00155dde6a00</t>
  </si>
  <si>
    <t>209 349,60</t>
  </si>
  <si>
    <t>1 621,21</t>
  </si>
  <si>
    <t>97 272,60</t>
  </si>
  <si>
    <t>3 489,16</t>
  </si>
  <si>
    <t>e1cib/data/Документ.ЗаказКлиента?ref=99b900155dde6a0011f11636b418c3b9</t>
  </si>
  <si>
    <t>bbe8240f-16e1-11f1-99b9-00155dde6a00</t>
  </si>
  <si>
    <t>Заказ клиента ЗСУП-000716 от 03.03.2026 12:17:01</t>
  </si>
  <si>
    <t>12 700,80</t>
  </si>
  <si>
    <t>e1cib/data/Документ.ЗаказКлиента?ref=99b900155dde6a0011f116e1bbe8240f</t>
  </si>
  <si>
    <t>узкий/BIFM/Д/Т/(12.0)</t>
  </si>
  <si>
    <t>05f12735-b32c-11eb-ab4d-0cc47af964e9</t>
  </si>
  <si>
    <t>8 059,24</t>
  </si>
  <si>
    <t>Слопласт ТГ (12/1320 х 3050 х 4,0/2/BITM/МТ//847/847//Н)</t>
  </si>
  <si>
    <t>14 000,00</t>
  </si>
  <si>
    <t>AmountNDS</t>
  </si>
  <si>
    <t>Zakaz_id_1c</t>
  </si>
  <si>
    <t>Ref_1c</t>
  </si>
  <si>
    <t>Сведено</t>
  </si>
  <si>
    <t>spr_nomenclature.code1С</t>
  </si>
  <si>
    <t>e5b05548-d4e2-11f0-99b9-00155dde6a00</t>
  </si>
  <si>
    <t>Реализация товаров и услуг ЗСУП-004953 от 09.12.2025 12:39:10</t>
  </si>
  <si>
    <t>ЗСУП-004953</t>
  </si>
  <si>
    <t>Реализовано</t>
  </si>
  <si>
    <t>5 352,67</t>
  </si>
  <si>
    <t>e1cib/data/Документ.РеализацияТоваровУслуг?ref=99b900155dde6a0011f0d4e2e5b05548</t>
  </si>
  <si>
    <t>e53ee5f8-d0f0-11f0-99b9-00155dde6a00008da890-d0f0-11f0-99b9-00155dde6a00</t>
  </si>
  <si>
    <t>УП-00114496</t>
  </si>
  <si>
    <t>4dbe3103-e096-11f0-99b9-00155dde6a00</t>
  </si>
  <si>
    <t>Реализация товаров и услуг ЗСУП-005234 от 24.12.2025 10:01:09</t>
  </si>
  <si>
    <t>ЗСУП-005234</t>
  </si>
  <si>
    <t>e1cib/data/Документ.РеализацияТоваровУслуг?ref=99b900155dde6a0011f0e0964dbe3103</t>
  </si>
  <si>
    <t>7ec0f5a3-dbf2-11f0-99b9-00155dde6a00008da890-d0f0-11f0-99b9-00155dde6a00</t>
  </si>
  <si>
    <t>ad716318-d5a6-11f0-99b9-00155dde6a00</t>
  </si>
  <si>
    <t>Реализация товаров и услуг ЗСУП-004988 от 10.12.2025 12:00:30</t>
  </si>
  <si>
    <t>ЗСУП-004988</t>
  </si>
  <si>
    <t>2 676,33</t>
  </si>
  <si>
    <t>e1cib/data/Документ.РеализацияТоваровУслуг?ref=99b900155dde6a0011f0d5a6ad716318</t>
  </si>
  <si>
    <t>03186bd9-114e-11f0-ab6a-0cc47af964e9</t>
  </si>
  <si>
    <t>Реализация товаров и услуг ЗСУП-001468 от 04.04.2025 15:12:01</t>
  </si>
  <si>
    <t>ЗСУП-001468</t>
  </si>
  <si>
    <t>Склад Москва</t>
  </si>
  <si>
    <t>171 700,00</t>
  </si>
  <si>
    <t>28 616,67</t>
  </si>
  <si>
    <t>e1cib/data/Документ.РеализацияТоваровУслуг?ref=ab6a0cc47af964e911f0114e03186bd9</t>
  </si>
  <si>
    <t>6782ea25-0a2e-11f0-ab6a-0cc47af964e9000386a5-cb7d-11e7-80e3-00155d000d00</t>
  </si>
  <si>
    <t>00-00006192</t>
  </si>
  <si>
    <t>40e2e0e1-b4b7-11f0-99b8-00155dde6a00</t>
  </si>
  <si>
    <t>Реализация товаров и услуг ЗСУП-004205 от 29.10.2025 14:06:02</t>
  </si>
  <si>
    <t>ЗСУП-004205</t>
  </si>
  <si>
    <t>17 170,00</t>
  </si>
  <si>
    <t>e1cib/data/Документ.РеализацияТоваровУслуг?ref=99b800155dde6a0011f0b4b740e2e0e1</t>
  </si>
  <si>
    <t>327923bd-a060-11f0-99b7-00155dde6a00000386a5-cb7d-11e7-80e3-00155d000d00</t>
  </si>
  <si>
    <t>cc6c14e9-cc3a-11f0-99b9-00155dde6a00</t>
  </si>
  <si>
    <t>Реализация товаров и услуг ЗСУП-004801 от 28.11.2025 12:15:43</t>
  </si>
  <si>
    <t>ЗСУП-004801</t>
  </si>
  <si>
    <t>f3ef402d-ff15-11ef-ab6a-0cc47af964e9</t>
  </si>
  <si>
    <t>f3ef4054-ff15-11ef-ab6a-0cc47af964e9</t>
  </si>
  <si>
    <t>26361b55-9e9f-11f0-99b7-00155dde6a00</t>
  </si>
  <si>
    <t>254335bb-a292-11f0-99b7-00155dde6a00</t>
  </si>
  <si>
    <t>0a210693-8e39-11f0-99b7-00155dde6a00</t>
  </si>
  <si>
    <t>2 788 155,27</t>
  </si>
  <si>
    <t>464 692,55</t>
  </si>
  <si>
    <t>34 421,67</t>
  </si>
  <si>
    <t>e1cib/data/Документ.РеализацияТоваровУслуг?ref=99b900155dde6a0011f0cc3acc6c14e9</t>
  </si>
  <si>
    <t>ed4df888-9e9f-11f0-99b7-00155dde6a000a210693-8e39-11f0-99b7-00155dde6a00</t>
  </si>
  <si>
    <t>УП-00112269</t>
  </si>
  <si>
    <t>187f0979-cc37-11f0-99b9-00155dde6a00</t>
  </si>
  <si>
    <t>Реализация товаров и услуг ЗСУП-004799 от 28.11.2025 11:49:10</t>
  </si>
  <si>
    <t>ЗСУП-004799</t>
  </si>
  <si>
    <t>8 261 200,80</t>
  </si>
  <si>
    <t>1 376 866,80</t>
  </si>
  <si>
    <t>e1cib/data/Документ.РеализацияТоваровУслуг?ref=99b900155dde6a0011f0cc37187f0979</t>
  </si>
  <si>
    <t>550 746,72</t>
  </si>
  <si>
    <t>91 791,12</t>
  </si>
  <si>
    <t>c500dad6-819e-11e7-80e2-00155d000d00</t>
  </si>
  <si>
    <t>79948e91-e4f5-11ee-ab64-0cc47af964e9</t>
  </si>
  <si>
    <t>0b526d38-ed21-11ef-ab6a-0cc47af964e9</t>
  </si>
  <si>
    <t>Реализация товаров и услуг ЗСУП-000702 от 17.02.2025 14:19:30</t>
  </si>
  <si>
    <t>ЗСУП-000702</t>
  </si>
  <si>
    <t>e1cib/data/Документ.РеализацияТоваровУслуг?ref=ab6a0cc47af964e911efed210b526d38</t>
  </si>
  <si>
    <t>beb54391-3d2b-11f0-ab6b-0cc47af964e9</t>
  </si>
  <si>
    <t>Реализация товаров и услуг ЗСУП-002108 от 30.05.2025 10:57:34</t>
  </si>
  <si>
    <t>ЗСУП-002108</t>
  </si>
  <si>
    <t>e1cib/data/Документ.РеализацияТоваровУслуг?ref=ab6b0cc47af964e911f03d2bbeb54391</t>
  </si>
  <si>
    <t>559805e6-557e-11f0-ab6b-0cc47af964e9</t>
  </si>
  <si>
    <t>Реализация товаров и услуг ЗСУП-002480 от 30.06.2025 9:49:17</t>
  </si>
  <si>
    <t>ЗСУП-002480</t>
  </si>
  <si>
    <t>e1cib/data/Документ.РеализацияТоваровУслуг?ref=ab6b0cc47af964e911f0557e559805e6</t>
  </si>
  <si>
    <t>УП-00080436</t>
  </si>
  <si>
    <t>2 814,00</t>
  </si>
  <si>
    <t>b66fb43c-bf01-11f0-99b9-00155dde6a00194970a4-6577-11ed-ab59-0cc47af964e9</t>
  </si>
  <si>
    <t>2 962,00</t>
  </si>
  <si>
    <t>882e8e68-dcb0-11f0-99b9-00155dde6a00</t>
  </si>
  <si>
    <t>Реализация товаров и услуг ЗСУП-005148 от 19.12.2025 10:58:46</t>
  </si>
  <si>
    <t>ЗСУП-005148</t>
  </si>
  <si>
    <t>5 628,00</t>
  </si>
  <si>
    <t>e1cib/data/Документ.РеализацияТоваровУслуг?ref=99b900155dde6a0011f0dcb0882e8e68</t>
  </si>
  <si>
    <t>5dc8e724-e562-11f0-99b9-00155dde6a00</t>
  </si>
  <si>
    <t>Реализация товаров и услуг ЗСУП-005357 от 30.12.2025 12:31:59</t>
  </si>
  <si>
    <t>ЗСУП-005357</t>
  </si>
  <si>
    <t>e1cib/data/Документ.РеализацияТоваровУслуг?ref=99b900155dde6a0011f0e5625dc8e724</t>
  </si>
  <si>
    <t>ac6b068d-cf38-11ef-ab69-0cc47af964e9</t>
  </si>
  <si>
    <t>Реализация товаров и услуг ЗСУП-000019 от 10.01.2025 12:52:59</t>
  </si>
  <si>
    <t>ЗСУП-000019</t>
  </si>
  <si>
    <t>205 859,00</t>
  </si>
  <si>
    <t>34 309,83</t>
  </si>
  <si>
    <t>e1cib/data/Документ.РеализацияТоваровУслуг?ref=ab690cc47af964e911efcf38ac6b068d</t>
  </si>
  <si>
    <t>9ed26bb3-9dca-11ef-ab68-0cc47af964e9194970a4-6577-11ed-ab59-0cc47af964e9</t>
  </si>
  <si>
    <t>d6f2c30f-d317-11ef-ab69-0cc47af964e9</t>
  </si>
  <si>
    <t>Реализация товаров и услуг ЗСУП-000092 от 15.01.2025 11:08:05</t>
  </si>
  <si>
    <t>ЗСУП-000092</t>
  </si>
  <si>
    <t>69 607,00</t>
  </si>
  <si>
    <t>11 601,17</t>
  </si>
  <si>
    <t>e1cib/data/Документ.РеализацияТоваровУслуг?ref=ab690cc47af964e911efd317d6f2c30f</t>
  </si>
  <si>
    <t>f2d22a58-bded-11ef-ab69-0cc47af964e9194970a4-6577-11ed-ab59-0cc47af964e9</t>
  </si>
  <si>
    <t>5528c09f-da2f-11ef-ab69-0cc47af964e9</t>
  </si>
  <si>
    <t>Реализация товаров и услуг ЗСУП-000322 от 24.01.2025 11:43:52</t>
  </si>
  <si>
    <t>ЗСУП-000322</t>
  </si>
  <si>
    <t>159 948,00</t>
  </si>
  <si>
    <t>26 658,00</t>
  </si>
  <si>
    <t>e1cib/data/Документ.РеализацияТоваровУслуг?ref=ab690cc47af964e911efda2f5528c09f</t>
  </si>
  <si>
    <t>aa40444f-b08f-11ef-ab69-0cc47af964e9194970a4-6577-11ed-ab59-0cc47af964e9</t>
  </si>
  <si>
    <t>dee532e0-ded5-11ef-ab6a-0cc47af964e9</t>
  </si>
  <si>
    <t>Реализация товаров и услуг ЗСУП-000399 от 30.01.2025 9:46:02</t>
  </si>
  <si>
    <t>105 151,00</t>
  </si>
  <si>
    <t>17 525,17</t>
  </si>
  <si>
    <t>e1cib/data/Документ.РеализацияТоваровУслуг?ref=ab6a0cc47af964e911efded5dee532e0</t>
  </si>
  <si>
    <t>89fbe6b2-c50e-11ef-ab69-0cc47af964e9194970a4-6577-11ed-ab59-0cc47af964e9</t>
  </si>
  <si>
    <t>d4109a15-dfc4-11ef-ab6a-0cc47af964e9</t>
  </si>
  <si>
    <t>Реализация товаров и услуг ЗСУП-000459 от 31.01.2025 14:16:40</t>
  </si>
  <si>
    <t>ЗСУП-000459</t>
  </si>
  <si>
    <t>e1cib/data/Документ.РеализацияТоваровУслуг?ref=ab6a0cc47af964e911efdfc4d4109a15</t>
  </si>
  <si>
    <t>c1aff4d3-c1cd-11ef-ab69-0cc47af964e9194970a4-6577-11ed-ab59-0cc47af964e9</t>
  </si>
  <si>
    <t>15535da1-dfe3-11ef-ab6a-0cc47af964e9</t>
  </si>
  <si>
    <t>Реализация товаров и услуг ЗСУП-000481 от 31.01.2025 17:53:09</t>
  </si>
  <si>
    <t>bd5b30ac-573c-11eb-ab4b-0cc47af964e9</t>
  </si>
  <si>
    <t>e1cib/data/Документ.РеализацияТоваровУслуг?ref=ab6a0cc47af964e911efdfe315535da1</t>
  </si>
  <si>
    <t>e0ef67b0-bbbd-11ef-ab69-0cc47af964e9194970a4-6577-11ed-ab59-0cc47af964e9</t>
  </si>
  <si>
    <t>8 442,00</t>
  </si>
  <si>
    <t>158 467,00</t>
  </si>
  <si>
    <t>26 411,17</t>
  </si>
  <si>
    <t>82fb607f-ead0-11ef-ab6a-0cc47af964e9</t>
  </si>
  <si>
    <t>Реализация товаров и услуг ЗСУП-000668 от 14.02.2025 15:37:55</t>
  </si>
  <si>
    <t>64 722,00</t>
  </si>
  <si>
    <t>10 787,00</t>
  </si>
  <si>
    <t>e1cib/data/Документ.РеализацияТоваровУслуг?ref=ab6a0cc47af964e911efead082fb607f</t>
  </si>
  <si>
    <t>cf773fa8-d7cf-11ef-ab69-0cc47af964e9194970a4-6577-11ed-ab59-0cc47af964e9</t>
  </si>
  <si>
    <t>4f01dc00-d70e-11ef-ab69-0cc47af964e9194970a4-6577-11ed-ab59-0cc47af964e9</t>
  </si>
  <si>
    <t>a14f1b7e-f5ca-11ef-ab6a-0cc47af964e9</t>
  </si>
  <si>
    <t>Реализация товаров и услуг ЗСУП-000919 от 28.02.2025 14:53:34</t>
  </si>
  <si>
    <t>49 245,00</t>
  </si>
  <si>
    <t>8 207,50</t>
  </si>
  <si>
    <t>e1cib/data/Документ.РеализацияТоваровУслуг?ref=ab6a0cc47af964e911eff5caa14f1b7e</t>
  </si>
  <si>
    <t>df87f30d-e3c8-11ef-ab6a-0cc47af964e9194970a4-6577-11ed-ab59-0cc47af964e9</t>
  </si>
  <si>
    <t>d4d33e6e-f5d9-11ef-ab6a-0cc47af964e9</t>
  </si>
  <si>
    <t>Реализация товаров и услуг ЗСУП-000929 от 28.02.2025 16:42:20</t>
  </si>
  <si>
    <t>e1cib/data/Документ.РеализацияТоваровУслуг?ref=ab6a0cc47af964e911eff5d9d4d33e6e</t>
  </si>
  <si>
    <t>5f5ac4cb-ed33-11ef-ab6a-0cc47af964e9194970a4-6577-11ed-ab59-0cc47af964e9</t>
  </si>
  <si>
    <t>67a91eb0-f5db-11ef-ab6a-0cc47af964e9</t>
  </si>
  <si>
    <t>Реализация товаров и услуг ЗСУП-000936 от 28.02.2025 16:53:41</t>
  </si>
  <si>
    <t>63 315,00</t>
  </si>
  <si>
    <t>10 552,50</t>
  </si>
  <si>
    <t>e1cib/data/Документ.РеализацияТоваровУслуг?ref=ab6a0cc47af964e911eff5db67a91eb0</t>
  </si>
  <si>
    <t>056ea087-eab7-11ef-ab6a-0cc47af964e9194970a4-6577-11ed-ab59-0cc47af964e9</t>
  </si>
  <si>
    <t>0b298748-03d8-11f0-ab6a-0cc47af964e9</t>
  </si>
  <si>
    <t>Реализация товаров и услуг ЗСУП-001170 от 18.03.2025 12:04:53</t>
  </si>
  <si>
    <t>ЗСУП-001170</t>
  </si>
  <si>
    <t>e1cib/data/Документ.РеализацияТоваровУслуг?ref=ab6a0cc47af964e911f003d80b298748</t>
  </si>
  <si>
    <t>7fcbdc1a-f836-11ef-ab6a-0cc47af964e9194970a4-6577-11ed-ab59-0cc47af964e9</t>
  </si>
  <si>
    <t>aa7c881e-03f6-11f0-ab6a-0cc47af964e9</t>
  </si>
  <si>
    <t>Реализация товаров и услуг ЗСУП-001175 от 18.03.2025 15:44:03</t>
  </si>
  <si>
    <t>ЗСУП-001175</t>
  </si>
  <si>
    <t>e1cib/data/Документ.РеализацияТоваровУслуг?ref=ab6a0cc47af964e911f003f6aa7c881e</t>
  </si>
  <si>
    <t>1812af48-f4d3-11ef-ab6a-0cc47af964e9194970a4-6577-11ed-ab59-0cc47af964e9</t>
  </si>
  <si>
    <t>4135be23-0e3f-11f0-ab6a-0cc47af964e9</t>
  </si>
  <si>
    <t>Реализация товаров и услуг ЗСУП-001430 от 31.03.2025 17:48:49</t>
  </si>
  <si>
    <t>ЗСУП-001430</t>
  </si>
  <si>
    <t>e1cib/data/Документ.РеализацияТоваровУслуг?ref=ab6a0cc47af964e911f00e3f4135be23</t>
  </si>
  <si>
    <t>70556176-0659-11f0-ab6a-0cc47af964e9194970a4-6577-11ed-ab59-0cc47af964e9</t>
  </si>
  <si>
    <t>5e84b4c7-1161-11f0-ab6a-0cc47af964e9</t>
  </si>
  <si>
    <t>Реализация товаров и услуг ЗСУП-001475 от 04.04.2025 17:30:39</t>
  </si>
  <si>
    <t>ЗСУП-001475</t>
  </si>
  <si>
    <t>220 669,00</t>
  </si>
  <si>
    <t>36 778,17</t>
  </si>
  <si>
    <t>e1cib/data/Документ.РеализацияТоваровУслуг?ref=ab6a0cc47af964e911f011615e84b4c7</t>
  </si>
  <si>
    <t>6ea6aedf-04cb-11f0-ab6a-0cc47af964e9194970a4-6577-11ed-ab59-0cc47af964e9</t>
  </si>
  <si>
    <t>0c6f661c-16a3-11f0-ab6a-0cc47af964e9</t>
  </si>
  <si>
    <t>Реализация товаров и услуг ЗСУП-001536 от 11.04.2025 10:03:26</t>
  </si>
  <si>
    <t>ЗСУП-001536</t>
  </si>
  <si>
    <t>e1cib/data/Документ.РеализацияТоваровУслуг?ref=ab6a0cc47af964e911f016a30c6f661c</t>
  </si>
  <si>
    <t>44842685-08bd-11f0-ab6a-0cc47af964e9194970a4-6577-11ed-ab59-0cc47af964e9</t>
  </si>
  <si>
    <t>e50a4438-25c0-11f0-ab6a-0cc47af964e9</t>
  </si>
  <si>
    <t>Реализация товаров и услуг ЗСУП-001819 от 30.04.2025 15:44:47</t>
  </si>
  <si>
    <t>ЗСУП-001819</t>
  </si>
  <si>
    <t>177 415,00</t>
  </si>
  <si>
    <t>29 569,17</t>
  </si>
  <si>
    <t>e1cib/data/Документ.РеализацияТоваровУслуг?ref=ab6a0cc47af964e911f025c0e50a4438</t>
  </si>
  <si>
    <t>60ae1415-1b61-11f0-ab6a-0cc47af964e9194970a4-6577-11ed-ab59-0cc47af964e9</t>
  </si>
  <si>
    <t>faff8f37-25cd-11f0-ab6a-0cc47af964e9</t>
  </si>
  <si>
    <t>Реализация товаров и услуг ЗСУП-001830 от 30.04.2025 17:18:30</t>
  </si>
  <si>
    <t>49 366,67</t>
  </si>
  <si>
    <t>e1cib/data/Документ.РеализацияТоваровУслуг?ref=ab6a0cc47af964e911f025cdfaff8f37</t>
  </si>
  <si>
    <t>3ee47088-25a1-11f0-ab6a-0cc47af964e9194970a4-6577-11ed-ab59-0cc47af964e9</t>
  </si>
  <si>
    <t>f9d45f73-308b-11f0-ab6b-0cc47af964e9</t>
  </si>
  <si>
    <t>Реализация товаров и услуг ЗСУП-001920 от 14.05.2025 9:23:41</t>
  </si>
  <si>
    <t>e1cib/data/Документ.РеализацияТоваровУслуг?ref=ab6b0cc47af964e911f0308bf9d45f73</t>
  </si>
  <si>
    <t>2459a82a-13a1-11f0-ab6a-0cc47af964e9194970a4-6577-11ed-ab59-0cc47af964e9</t>
  </si>
  <si>
    <t>25a69a2d-3618-11f0-ab6b-0cc47af964e9</t>
  </si>
  <si>
    <t>Реализация товаров и услуг ЗСУП-001975 от 21.05.2025 10:49:39</t>
  </si>
  <si>
    <t>ЗСУП-001975</t>
  </si>
  <si>
    <t>e1cib/data/Документ.РеализацияТоваровУслуг?ref=ab6b0cc47af964e911f0361825a69a2d</t>
  </si>
  <si>
    <t>b2084320-1543-11f0-ab6a-0cc47af964e9194970a4-6577-11ed-ab59-0cc47af964e9</t>
  </si>
  <si>
    <t>57a3f573-36ee-11f0-ab6b-0cc47af964e9</t>
  </si>
  <si>
    <t>Реализация товаров и услуг ЗСУП-001988 от 22.05.2025 12:22:58</t>
  </si>
  <si>
    <t>ЗСУП-001988</t>
  </si>
  <si>
    <t>e1cib/data/Документ.РеализацияТоваровУслуг?ref=ab6b0cc47af964e911f036ee57a3f573</t>
  </si>
  <si>
    <t>8ece1929-1f72-11f0-ab6a-0cc47af964e9194970a4-6577-11ed-ab59-0cc47af964e9</t>
  </si>
  <si>
    <t>13 585,00</t>
  </si>
  <si>
    <t>1f3d71c3-2019-11f0-ab6a-0cc47af964e9194970a4-6577-11ed-ab59-0cc47af964e9</t>
  </si>
  <si>
    <t>d2e6baea-41fe-11f0-ab6b-0cc47af964e9</t>
  </si>
  <si>
    <t>Реализация товаров и услуг ЗСУП-002195 от 05.06.2025 14:18:38</t>
  </si>
  <si>
    <t>ЗСУП-002195</t>
  </si>
  <si>
    <t>13 132,00</t>
  </si>
  <si>
    <t>e1cib/data/Документ.РеализацияТоваровУслуг?ref=ab6b0cc47af964e911f041fed2e6baea</t>
  </si>
  <si>
    <t>7f35cb9d-36f0-11f0-ab6b-0cc47af964e9194970a4-6577-11ed-ab59-0cc47af964e9</t>
  </si>
  <si>
    <t>25 900,00</t>
  </si>
  <si>
    <t>91bb0c15-4dbb-11f0-ab6b-0cc47af964e9</t>
  </si>
  <si>
    <t>Реализация товаров и услуг ЗСУП-002360 от 20.06.2025 12:47:28</t>
  </si>
  <si>
    <t>ЗСУП-002360</t>
  </si>
  <si>
    <t>e1cib/data/Документ.РеализацияТоваровУслуг?ref=ab6b0cc47af964e911f04dbb91bb0c15</t>
  </si>
  <si>
    <t>a4567eb7-55b9-11f0-ab6b-0cc47af964e9</t>
  </si>
  <si>
    <t>Реализация товаров и услуг ЗСУП-002508 от 30.06.2025 16:53:48</t>
  </si>
  <si>
    <t>e1cib/data/Документ.РеализацияТоваровУслуг?ref=ab6b0cc47af964e911f055b9a4567eb7</t>
  </si>
  <si>
    <t>557eff22-5c95-11f0-ab6b-0cc47af964e9</t>
  </si>
  <si>
    <t>Реализация товаров и услуг ЗСУП-002612 от 09.07.2025 10:21:32</t>
  </si>
  <si>
    <t>ЗСУП-002612</t>
  </si>
  <si>
    <t>14 563,17</t>
  </si>
  <si>
    <t>e1cib/data/Документ.РеализацияТоваровУслуг?ref=ab6b0cc47af964e911f05c95557eff22</t>
  </si>
  <si>
    <t>f9faff2d-5359-11f0-ab6b-0cc47af964e9194970a4-6577-11ed-ab59-0cc47af964e9</t>
  </si>
  <si>
    <t>30fb33f1-6631-11f0-ab6b-0cc47af964e9</t>
  </si>
  <si>
    <t>Реализация товаров и услуг ЗСУП-002762 от 21.07.2025 15:49:53</t>
  </si>
  <si>
    <t>ЗСУП-002762</t>
  </si>
  <si>
    <t>8 911,00</t>
  </si>
  <si>
    <t>e1cib/data/Документ.РеализацияТоваровУслуг?ref=ab6b0cc47af964e911f0663130fb33f1</t>
  </si>
  <si>
    <t>13ba3dfa-6182-11f0-ab6b-0cc47af964e9194970a4-6577-11ed-ab59-0cc47af964e9</t>
  </si>
  <si>
    <t>aaef353e-6857-11f0-ab6b-0cc47af964e9</t>
  </si>
  <si>
    <t>Реализация товаров и услуг ЗСУП-002812 от 24.07.2025 9:30:21</t>
  </si>
  <si>
    <t>ЗСУП-002812</t>
  </si>
  <si>
    <t>e1cib/data/Документ.РеализацияТоваровУслуг?ref=ab6b0cc47af964e911f06857aaef353e</t>
  </si>
  <si>
    <t>400c6031-5b3e-11f0-ab6b-0cc47af964e9194970a4-6577-11ed-ab59-0cc47af964e9</t>
  </si>
  <si>
    <t>cbccf8f9-6926-11f0-ab6b-0cc47af964e9</t>
  </si>
  <si>
    <t>Реализация товаров и услуг ЗСУП-002840 от 25.07.2025 10:13:03</t>
  </si>
  <si>
    <t>ЗСУП-002840</t>
  </si>
  <si>
    <t>20 720,00</t>
  </si>
  <si>
    <t>e1cib/data/Документ.РеализацияТоваровУслуг?ref=ab6b0cc47af964e911f06926cbccf8f9</t>
  </si>
  <si>
    <t>d5f19222-5ccd-11f0-ab6b-0cc47af964e9194970a4-6577-11ed-ab59-0cc47af964e9</t>
  </si>
  <si>
    <t>46a58f90-7102-11f0-ab6c-0cc47af964e9</t>
  </si>
  <si>
    <t>Реализация товаров и услуг ЗСУП-002990 от 04.08.2025 10:11:44</t>
  </si>
  <si>
    <t>2 715,17</t>
  </si>
  <si>
    <t>e1cib/data/Документ.РеализацияТоваровУслуг?ref=ab6c0cc47af964e911f0710246a58f90</t>
  </si>
  <si>
    <t>1c7fb8a9-60c1-11f0-ab6b-0cc47af964e9194970a4-6577-11ed-ab59-0cc47af964e9</t>
  </si>
  <si>
    <t>e0a48fc5-7e55-11f0-99b7-00155dde6a00</t>
  </si>
  <si>
    <t>Реализация товаров и услуг ЗСУП-003168 от 21.08.2025 9:12:56</t>
  </si>
  <si>
    <t>e1cib/data/Документ.РеализацияТоваровУслуг?ref=99b700155dde6a0011f07e55e0a48fc5</t>
  </si>
  <si>
    <t>4b2f54dc-6c80-11f0-ab6b-0cc47af964e9194970a4-6577-11ed-ab59-0cc47af964e9</t>
  </si>
  <si>
    <t>9734e891-7e5b-11f0-99b7-00155dde6a00</t>
  </si>
  <si>
    <t>Реализация товаров и услуг ЗСУП-003177 от 22.08.2025 0:00:00</t>
  </si>
  <si>
    <t>ЗСУП-003177</t>
  </si>
  <si>
    <t>e1cib/data/Документ.РеализацияТоваровУслуг?ref=99b700155dde6a0011f07e5b9734e891</t>
  </si>
  <si>
    <t>7355603b-6ea0-11f0-ab6c-0cc47af964e9194970a4-6577-11ed-ab59-0cc47af964e9</t>
  </si>
  <si>
    <t>0cdf2aaf-7f21-11f0-99b7-00155dde6a00</t>
  </si>
  <si>
    <t>Реализация товаров и услуг ЗСУП-003201 от 22.08.2025 9:27:22</t>
  </si>
  <si>
    <t>ЗСУП-003201</t>
  </si>
  <si>
    <t>22 446,67</t>
  </si>
  <si>
    <t>e1cib/data/Документ.РеализацияТоваровУслуг?ref=99b700155dde6a0011f07f210cdf2aaf</t>
  </si>
  <si>
    <t>40d300f8-6ba4-11f0-ab6b-0cc47af964e9194970a4-6577-11ed-ab59-0cc47af964e9</t>
  </si>
  <si>
    <t>3daecbdf-7f21-11f0-99b7-00155dde6a00</t>
  </si>
  <si>
    <t>Реализация товаров и услуг ЗСУП-003202 от 22.08.2025 9:28:40</t>
  </si>
  <si>
    <t>ЗСУП-003202</t>
  </si>
  <si>
    <t>6 475,00</t>
  </si>
  <si>
    <t>e1cib/data/Документ.РеализацияТоваровУслуг?ref=99b700155dde6a0011f07f213daecbdf</t>
  </si>
  <si>
    <t>acfeab31-6d2a-11f0-ab6b-0cc47af964e9194970a4-6577-11ed-ab59-0cc47af964e9</t>
  </si>
  <si>
    <t>2e3bdff3-8a23-11f0-99b7-00155dde6a00</t>
  </si>
  <si>
    <t>Реализация товаров и услуг ЗСУП-003389 от 05.09.2025 9:40:17</t>
  </si>
  <si>
    <t>9 928,33</t>
  </si>
  <si>
    <t>e1cib/data/Документ.РеализацияТоваровУслуг?ref=99b700155dde6a0011f08a232e3bdff3</t>
  </si>
  <si>
    <t>04019bca-8fac-11f0-99b7-00155dde6a00</t>
  </si>
  <si>
    <t>Реализация товаров и услуг ЗСУП-003423 от 12.09.2025 10:42:22</t>
  </si>
  <si>
    <t>ЗСУП-003423</t>
  </si>
  <si>
    <t>e1cib/data/Документ.РеализацияТоваровУслуг?ref=99b700155dde6a0011f08fac04019bca</t>
  </si>
  <si>
    <t>afffc6ca-84b4-11f0-99b7-00155dde6a00194970a4-6577-11ed-ab59-0cc47af964e9</t>
  </si>
  <si>
    <t>8b151daa-939e-11f0-99b7-00155dde6a00</t>
  </si>
  <si>
    <t>Реализация товаров и услуг ЗСУП-003455 от 17.09.2025 11:16:00</t>
  </si>
  <si>
    <t>ЗСУП-003455</t>
  </si>
  <si>
    <t>23 696,00</t>
  </si>
  <si>
    <t>e1cib/data/Документ.РеализацияТоваровУслуг?ref=99b700155dde6a0011f0939e8b151daa</t>
  </si>
  <si>
    <t>6bd7fe3e-8d5b-11f0-99b7-00155dde6a00194970a4-6577-11ed-ab59-0cc47af964e9</t>
  </si>
  <si>
    <t>921b47df-952f-11f0-99b7-00155dde6a00</t>
  </si>
  <si>
    <t>Реализация товаров и услуг ЗСУП-003500 от 19.09.2025 11:06:41</t>
  </si>
  <si>
    <t>ЗСУП-003500</t>
  </si>
  <si>
    <t>e1cib/data/Документ.РеализацияТоваровУслуг?ref=99b700155dde6a0011f0952f921b47df</t>
  </si>
  <si>
    <t>22c3a044-712e-11f0-ab6c-0cc47af964e9194970a4-6577-11ed-ab59-0cc47af964e9</t>
  </si>
  <si>
    <t>aca173a5-9530-11f0-99b7-00155dde6a00</t>
  </si>
  <si>
    <t>Реализация товаров и услуг ЗСУП-003502 от 19.09.2025 11:14:34</t>
  </si>
  <si>
    <t>ЗСУП-003502</t>
  </si>
  <si>
    <t>e1cib/data/Документ.РеализацияТоваровУслуг?ref=99b700155dde6a0011f09530aca173a5</t>
  </si>
  <si>
    <t>9aa036f9-7130-11f0-ab6c-0cc47af964e9194970a4-6577-11ed-ab59-0cc47af964e9</t>
  </si>
  <si>
    <t>39c966d7-9847-11f0-99b7-00155dde6a00</t>
  </si>
  <si>
    <t>Реализация товаров и услуг ЗСУП-003536 от 23.09.2025 9:33:40</t>
  </si>
  <si>
    <t>ЗСУП-003536</t>
  </si>
  <si>
    <t>11 725,00</t>
  </si>
  <si>
    <t>e1cib/data/Документ.РеализацияТоваровУслуг?ref=99b700155dde6a0011f0984739c966d7</t>
  </si>
  <si>
    <t>69423ec2-8a4f-11f0-99b7-00155dde6a00194970a4-6577-11ed-ab59-0cc47af964e9</t>
  </si>
  <si>
    <t>73f06c0d-9911-11f0-99b7-00155dde6a00</t>
  </si>
  <si>
    <t>Реализация товаров и услуг ЗСУП-003555 от 24.09.2025 9:41:10</t>
  </si>
  <si>
    <t>ЗСУП-003555</t>
  </si>
  <si>
    <t>2 468,33</t>
  </si>
  <si>
    <t>e1cib/data/Документ.РеализацияТоваровУслуг?ref=99b700155dde6a0011f0991173f06c0d</t>
  </si>
  <si>
    <t>c003ff3b-9cfe-11f0-99b7-00155dde6a00</t>
  </si>
  <si>
    <t>Реализация товаров и услуг ЗСУП-003629 от 29.09.2025 9:37:21</t>
  </si>
  <si>
    <t>ЗСУП-003629</t>
  </si>
  <si>
    <t>e1cib/data/Документ.РеализацияТоваровУслуг?ref=99b700155dde6a0011f09cfec003ff3b</t>
  </si>
  <si>
    <t>0544f2f0-78e8-11f0-99b7-00155dde6a00194970a4-6577-11ed-ab59-0cc47af964e9</t>
  </si>
  <si>
    <t>a70c0d36-a5ab-11f0-99b7-00155dde6a00</t>
  </si>
  <si>
    <t>Реализация товаров и услуг ЗСУП-003867 от 10.10.2025 10:35:11</t>
  </si>
  <si>
    <t>ЗСУП-003867</t>
  </si>
  <si>
    <t>e1cib/data/Документ.РеализацияТоваровУслуг?ref=99b700155dde6a0011f0a5aba70c0d36</t>
  </si>
  <si>
    <t>8b7e2c29-8fe7-11f0-99b7-00155dde6a00194970a4-6577-11ed-ab59-0cc47af964e9</t>
  </si>
  <si>
    <t>971e93f6-a5ad-11f0-99b7-00155dde6a00</t>
  </si>
  <si>
    <t>Реализация товаров и услуг ЗСУП-003869 от 10.10.2025 10:49:10</t>
  </si>
  <si>
    <t>ЗСУП-003869</t>
  </si>
  <si>
    <t>e1cib/data/Документ.РеализацияТоваровУслуг?ref=99b700155dde6a0011f0a5ad971e93f6</t>
  </si>
  <si>
    <t>34507be7-949a-11f0-99b7-00155dde6a00194970a4-6577-11ed-ab59-0cc47af964e9</t>
  </si>
  <si>
    <t>b2d7265d-a5ae-11f0-99b7-00155dde6a00</t>
  </si>
  <si>
    <t>Реализация товаров и услуг ЗСУП-003873 от 10.10.2025 10:57:07</t>
  </si>
  <si>
    <t>ЗСУП-003873</t>
  </si>
  <si>
    <t>e1cib/data/Документ.РеализацияТоваровУслуг?ref=99b700155dde6a0011f0a5aeb2d7265d</t>
  </si>
  <si>
    <t>e3e79d75-a389-11f0-99b7-00155dde6a00194970a4-6577-11ed-ab59-0cc47af964e9</t>
  </si>
  <si>
    <t>8cd87938-b3d1-11f0-99b8-00155dde6a00</t>
  </si>
  <si>
    <t>Реализация товаров и услуг ЗСУП-004160 от 28.10.2025 10:41:44</t>
  </si>
  <si>
    <t>ЗСУП-004160</t>
  </si>
  <si>
    <t>e1cib/data/Документ.РеализацияТоваровУслуг?ref=99b800155dde6a0011f0b3d18cd87938</t>
  </si>
  <si>
    <t>cfd48840-c38b-11f0-99b9-00155dde6a00</t>
  </si>
  <si>
    <t>Реализация товаров и услуг ЗСУП-004544 от 17.11.2025 11:02:55</t>
  </si>
  <si>
    <t>ЗСУП-004544</t>
  </si>
  <si>
    <t>e1cib/data/Документ.РеализацияТоваровУслуг?ref=99b900155dde6a0011f0c38bcfd48840</t>
  </si>
  <si>
    <t>6ff6e5cb-b71c-11f0-99b8-00155dde6a00194970a4-6577-11ed-ab59-0cc47af964e9</t>
  </si>
  <si>
    <t>13d8000a-c551-11f0-99b9-00155dde6a00</t>
  </si>
  <si>
    <t>Реализация товаров и услуг ЗСУП-004613 от 21.11.2025 0:00:00</t>
  </si>
  <si>
    <t>ЗСУП-004613</t>
  </si>
  <si>
    <t>e1cib/data/Документ.РеализацияТоваровУслуг?ref=99b900155dde6a0011f0c55113d8000a</t>
  </si>
  <si>
    <t>d7331df5-ca01-11f0-99b9-00155dde6a00</t>
  </si>
  <si>
    <t>Реализация товаров и услуг ЗСУП-004717 от 25.11.2025 16:22:56</t>
  </si>
  <si>
    <t>ЗСУП-004717</t>
  </si>
  <si>
    <t>e1cib/data/Документ.РеализацияТоваровУслуг?ref=99b900155dde6a0011f0ca01d7331df5</t>
  </si>
  <si>
    <t>ade4104a-cb82-11f0-99b9-00155dde6a00</t>
  </si>
  <si>
    <t>Реализация товаров и услуг ЗСУП-004759 от 27.11.2025 14:17:38</t>
  </si>
  <si>
    <t>ЗСУП-004759</t>
  </si>
  <si>
    <t>17 031,50</t>
  </si>
  <si>
    <t>e1cib/data/Документ.РеализацияТоваровУслуг?ref=99b900155dde6a0011f0cb82ade4104a</t>
  </si>
  <si>
    <t>bf6b651c-c47f-11f0-99b9-00155dde6a00194970a4-6577-11ed-ab59-0cc47af964e9</t>
  </si>
  <si>
    <t>02bd606e-cc4e-11f0-99b9-00155dde6a00</t>
  </si>
  <si>
    <t>Реализация товаров и услуг ЗСУП-004810 от 28.11.2025 14:33:08</t>
  </si>
  <si>
    <t>ЗСУП-004810</t>
  </si>
  <si>
    <t>e1cib/data/Документ.РеализацияТоваровУслуг?ref=99b900155dde6a0011f0cc4e02bd606e</t>
  </si>
  <si>
    <t>75bd8135-cc50-11f0-99b9-00155dde6a00</t>
  </si>
  <si>
    <t>Реализация товаров и услуг ЗСУП-004812 от 28.11.2025 14:50:48</t>
  </si>
  <si>
    <t>ЗСУП-004812</t>
  </si>
  <si>
    <t>e1cib/data/Документ.РеализацияТоваровУслуг?ref=99b900155dde6a0011f0cc5075bd8135</t>
  </si>
  <si>
    <t>317ae1f0-9d02-11f0-99b7-00155dde6a00194970a4-6577-11ed-ab59-0cc47af964e9</t>
  </si>
  <si>
    <t>80526e22-08a7-11f1-99b9-00155dde6a00</t>
  </si>
  <si>
    <t>Реализация товаров и услуг ЗСУП-000370 от 13.02.2026 9:45:03</t>
  </si>
  <si>
    <t>26 836,58</t>
  </si>
  <si>
    <t>e1cib/data/Документ.РеализацияТоваровУслуг?ref=99b900155dde6a0011f108a780526e22</t>
  </si>
  <si>
    <t>81ad9454-0009-11f1-99b9-00155dde6a00194970a4-6577-11ed-ab59-0cc47af964e9</t>
  </si>
  <si>
    <t>23fb3e93-13e1-11f1-99b9-00155dde6a00</t>
  </si>
  <si>
    <t>Реализация товаров и услуг ЗСУП-000606 от 27.02.2026 16:35:16</t>
  </si>
  <si>
    <t>e1cib/data/Документ.РеализацияТоваровУслуг?ref=99b900155dde6a0011f113e123fb3e93</t>
  </si>
  <si>
    <t>УП-00099753</t>
  </si>
  <si>
    <t>5295f40a-d4f8-11f0-99b9-00155dde6a00</t>
  </si>
  <si>
    <t>Реализация товаров и услуг ЗСУП-004962 от 09.12.2025 15:12:27</t>
  </si>
  <si>
    <t>ЗСУП-004962</t>
  </si>
  <si>
    <t>2 803,17</t>
  </si>
  <si>
    <t>e1cib/data/Документ.РеализацияТоваровУслуг?ref=99b900155dde6a0011f0d4f85295f40a</t>
  </si>
  <si>
    <t>97446354-c919-11f0-99b9-00155dde6a000893a63f-048c-11ef-ab64-0cc47af964e9</t>
  </si>
  <si>
    <t>5 366,67</t>
  </si>
  <si>
    <t>e5cd9aca-cf8e-11f0-99b9-00155dde6a000893a63f-048c-11ef-ab64-0cc47af964e9</t>
  </si>
  <si>
    <t>fb08c21e-df2f-11f0-99b9-00155dde6a00</t>
  </si>
  <si>
    <t>Реализация товаров и услуг ЗСУП-005212 от 24.12.2025 0:00:00</t>
  </si>
  <si>
    <t>ЗСУП-005212</t>
  </si>
  <si>
    <t>7 168,00</t>
  </si>
  <si>
    <t>e1cib/data/Документ.РеализацияТоваровУслуг?ref=99b900155dde6a0011f0df2ffb08c21e</t>
  </si>
  <si>
    <t>0d31837c-c9e4-11f0-99b9-00155dde6a000893a63f-048c-11ef-ab64-0cc47af964e9</t>
  </si>
  <si>
    <t>5 133,33</t>
  </si>
  <si>
    <t>321e5a0f-d697-11f0-99b9-00155dde6a000893a63f-048c-11ef-ab64-0cc47af964e9</t>
  </si>
  <si>
    <t>eaaf3f59-e571-11f0-99b9-00155dde6a00</t>
  </si>
  <si>
    <t>Реализация товаров и услуг ЗСУП-005369 от 30.12.2025 14:23:12</t>
  </si>
  <si>
    <t>ЗСУП-005369</t>
  </si>
  <si>
    <t>30 305,33</t>
  </si>
  <si>
    <t>e1cib/data/Документ.РеализацияТоваровУслуг?ref=99b900155dde6a0011f0e571eaaf3f59</t>
  </si>
  <si>
    <t>7868bf60-dc21-11f0-99b9-00155dde6a000893a63f-048c-11ef-ab64-0cc47af964e9</t>
  </si>
  <si>
    <t>4fb3bebb-ce7c-11ef-ab69-0cc47af964e9</t>
  </si>
  <si>
    <t>Реализация товаров и услуг ЗСУП-000005 от 09.01.2025 14:24:38</t>
  </si>
  <si>
    <t>ЗСУП-000005</t>
  </si>
  <si>
    <t>33 616,00</t>
  </si>
  <si>
    <t>5 602,67</t>
  </si>
  <si>
    <t>e1cib/data/Документ.РеализацияТоваровУслуг?ref=ab690cc47af964e911efce7c4fb3bebb</t>
  </si>
  <si>
    <t>0904f735-b313-11ef-ab69-0cc47af964e90893a63f-048c-11ef-ab64-0cc47af964e9</t>
  </si>
  <si>
    <t>235b6a6e-d1a2-11ef-ab69-0cc47af964e9</t>
  </si>
  <si>
    <t>Реализация товаров и услуг ЗСУП-000049 от 13.01.2025 14:33:07</t>
  </si>
  <si>
    <t>ЗСУП-000049</t>
  </si>
  <si>
    <t>e1cib/data/Документ.РеализацияТоваровУслуг?ref=ab690cc47af964e911efd1a2235b6a6e</t>
  </si>
  <si>
    <t>39698272-bc4d-11ef-ab69-0cc47af964e90893a63f-048c-11ef-ab64-0cc47af964e9</t>
  </si>
  <si>
    <t>583e1542-d414-11ef-ab69-0cc47af964e9</t>
  </si>
  <si>
    <t>Реализация товаров и услуг ЗСУП-000137 от 16.01.2025 17:15:35</t>
  </si>
  <si>
    <t>ЗСУП-000137</t>
  </si>
  <si>
    <t>52 272,00</t>
  </si>
  <si>
    <t>8 712,00</t>
  </si>
  <si>
    <t>e1cib/data/Документ.РеализацияТоваровУслуг?ref=ab690cc47af964e911efd414583e1542</t>
  </si>
  <si>
    <t>e33e33f3-ad8f-11ef-ab69-0cc47af964e90893a63f-048c-11ef-ab64-0cc47af964e9</t>
  </si>
  <si>
    <t>302 544,00</t>
  </si>
  <si>
    <t>50 424,00</t>
  </si>
  <si>
    <t>aa40444f-b08f-11ef-ab69-0cc47af964e90893a63f-048c-11ef-ab64-0cc47af964e9</t>
  </si>
  <si>
    <t>137 940,00</t>
  </si>
  <si>
    <t>22 990,00</t>
  </si>
  <si>
    <t>df87f30d-e3c8-11ef-ab6a-0cc47af964e90893a63f-048c-11ef-ab64-0cc47af964e9</t>
  </si>
  <si>
    <t>8e2ad068-f5cb-11ef-ab6a-0cc47af964e9</t>
  </si>
  <si>
    <t>Реализация товаров и услуг ЗСУП-000924 от 28.02.2025 15:00:16</t>
  </si>
  <si>
    <t>ЗСУП-000924</t>
  </si>
  <si>
    <t>117 612,00</t>
  </si>
  <si>
    <t>19 602,00</t>
  </si>
  <si>
    <t>e1cib/data/Документ.РеализацияТоваровУслуг?ref=ab6a0cc47af964e911eff5cb8e2ad068</t>
  </si>
  <si>
    <t>dd0c893c-f02a-11ef-ab6a-0cc47af964e90893a63f-048c-11ef-ab64-0cc47af964e9</t>
  </si>
  <si>
    <t>3 056,00</t>
  </si>
  <si>
    <t>5f5ac4cb-ed33-11ef-ab6a-0cc47af964e90893a63f-048c-11ef-ab64-0cc47af964e9</t>
  </si>
  <si>
    <t>eda18edb-0e0d-11f0-ab6a-0cc47af964e9</t>
  </si>
  <si>
    <t>Реализация товаров и услуг ЗСУП-001397 от 31.03.2025 11:55:52</t>
  </si>
  <si>
    <t>ЗСУП-001397</t>
  </si>
  <si>
    <t>3c80ed09-1193-11ed-ab55-0cc47af964e9</t>
  </si>
  <si>
    <t>e1cib/data/Документ.РеализацияТоваровУслуг?ref=ab6a0cc47af964e911f00e0deda18edb</t>
  </si>
  <si>
    <t>50328b63-04c2-11f0-ab6a-0cc47af964e90893a63f-048c-11ef-ab64-0cc47af964e9</t>
  </si>
  <si>
    <t>25 168,00</t>
  </si>
  <si>
    <t>70556176-0659-11f0-ab6a-0cc47af964e90893a63f-048c-11ef-ab64-0cc47af964e9</t>
  </si>
  <si>
    <t>02d9936a-1c37-11f0-ab6a-0cc47af964e9</t>
  </si>
  <si>
    <t>Реализация товаров и услуг ЗСУП-001642 от 18.04.2025 12:25:05</t>
  </si>
  <si>
    <t>ЗСУП-001642</t>
  </si>
  <si>
    <t>6 112,00</t>
  </si>
  <si>
    <t>e1cib/data/Документ.РеализацияТоваровУслуг?ref=ab6a0cc47af964e911f01c3702d9936a</t>
  </si>
  <si>
    <t>a50cb6e5-1161-11f0-ab6a-0cc47af964e90893a63f-048c-11ef-ab64-0cc47af964e9</t>
  </si>
  <si>
    <t>49 405,33</t>
  </si>
  <si>
    <t>3ee47088-25a1-11f0-ab6a-0cc47af964e90893a63f-048c-11ef-ab64-0cc47af964e9</t>
  </si>
  <si>
    <t>cb6f317e-36ee-11f0-ab6b-0cc47af964e9</t>
  </si>
  <si>
    <t>Реализация товаров и услуг ЗСУП-001990 от 22.05.2025 12:26:12</t>
  </si>
  <si>
    <t>8 228,00</t>
  </si>
  <si>
    <t>e1cib/data/Документ.РеализацияТоваровУслуг?ref=ab6b0cc47af964e911f036eecb6f317e</t>
  </si>
  <si>
    <t>a938c386-25c3-11f0-ab6a-0cc47af964e90893a63f-048c-11ef-ab64-0cc47af964e9</t>
  </si>
  <si>
    <t>086264ab-41ff-11f0-ab6b-0cc47af964e9</t>
  </si>
  <si>
    <t>Реализация товаров и услуг ЗСУП-002196 от 05.06.2025 14:20:06</t>
  </si>
  <si>
    <t>ЗСУП-002196</t>
  </si>
  <si>
    <t>13 310,00</t>
  </si>
  <si>
    <t>e1cib/data/Документ.РеализацияТоваровУслуг?ref=ab6b0cc47af964e911f041ff086264ab</t>
  </si>
  <si>
    <t>9f055a67-317d-11f0-ab6b-0cc47af964e90893a63f-048c-11ef-ab64-0cc47af964e9</t>
  </si>
  <si>
    <t>2 037,33</t>
  </si>
  <si>
    <t>85fb485a-4200-11f0-ab6b-0cc47af964e90893a63f-048c-11ef-ab64-0cc47af964e9</t>
  </si>
  <si>
    <t>0c586c12-5005-11f0-ab6b-0cc47af964e9</t>
  </si>
  <si>
    <t>Реализация товаров и услуг ЗСУП-002371 от 27.06.2025 0:00:00</t>
  </si>
  <si>
    <t>ЗСУП-002371</t>
  </si>
  <si>
    <t>158 912,00</t>
  </si>
  <si>
    <t>26 485,33</t>
  </si>
  <si>
    <t>e1cib/data/Документ.РеализацияТоваровУслуг?ref=ab6b0cc47af964e911f050050c586c12</t>
  </si>
  <si>
    <t>b755b605-1c5a-11f0-ab6a-0cc47af964e90893a63f-048c-11ef-ab64-0cc47af964e9</t>
  </si>
  <si>
    <t>8e17999e-5327-11f0-ab6b-0cc47af964e9</t>
  </si>
  <si>
    <t>Реализация товаров и услуг ЗСУП-002453 от 27.06.2025 10:23:03</t>
  </si>
  <si>
    <t>ЗСУП-002453</t>
  </si>
  <si>
    <t>7 355,33</t>
  </si>
  <si>
    <t>e1cib/data/Документ.РеализацияТоваровУслуг?ref=ab6b0cc47af964e911f053278e17999e</t>
  </si>
  <si>
    <t>d58f4d92-4602-11f0-ab6b-0cc47af964e90893a63f-048c-11ef-ab64-0cc47af964e9</t>
  </si>
  <si>
    <t>3d1aabfe-4609-11f0-ab6b-0cc47af964e90893a63f-048c-11ef-ab64-0cc47af964e9</t>
  </si>
  <si>
    <t>8 470,00</t>
  </si>
  <si>
    <t>cb5fb174-4aab-11f0-ab6b-0cc47af964e90893a63f-048c-11ef-ab64-0cc47af964e9</t>
  </si>
  <si>
    <t>375c8e46-55be-11f0-ab6b-0cc47af964e9</t>
  </si>
  <si>
    <t>Реализация товаров и услуг ЗСУП-002513 от 30.06.2025 17:26:32</t>
  </si>
  <si>
    <t>ЗСУП-002513</t>
  </si>
  <si>
    <t>14 278,00</t>
  </si>
  <si>
    <t>e1cib/data/Документ.РеализацияТоваровУслуг?ref=ab6b0cc47af964e911f055be375c8e46</t>
  </si>
  <si>
    <t>c51e7757-50d7-11f0-ab6b-0cc47af964e90893a63f-048c-11ef-ab64-0cc47af964e9</t>
  </si>
  <si>
    <t>914fe8db-5b08-11f0-ab6b-0cc47af964e9</t>
  </si>
  <si>
    <t>Реализация товаров и услуг ЗСУП-002580 от 07.07.2025 11:01:22</t>
  </si>
  <si>
    <t>ЗСУП-002580</t>
  </si>
  <si>
    <t>e1cib/data/Документ.РеализацияТоваровУслуг?ref=ab6b0cc47af964e911f05b08914fe8db</t>
  </si>
  <si>
    <t>f7d6f2e5-5027-11f0-ab6b-0cc47af964e90893a63f-048c-11ef-ab64-0cc47af964e9</t>
  </si>
  <si>
    <t>b5149668-5e24-11f0-ab6b-0cc47af964e9</t>
  </si>
  <si>
    <t>Реализация товаров и услуг ЗСУП-002651 от 14.07.2025 0:00:00</t>
  </si>
  <si>
    <t>3 584,00</t>
  </si>
  <si>
    <t>e1cib/data/Документ.РеализацияТоваровУслуг?ref=ab6b0cc47af964e911f05e24b5149668</t>
  </si>
  <si>
    <t>2d29b56f-45ec-11f0-ab6b-0cc47af964e90893a63f-048c-11ef-ab64-0cc47af964e9</t>
  </si>
  <si>
    <t>4 975,67</t>
  </si>
  <si>
    <t>d5f19222-5ccd-11f0-ab6b-0cc47af964e90893a63f-048c-11ef-ab64-0cc47af964e9</t>
  </si>
  <si>
    <t>6194b3b8-6b88-11f0-ab6b-0cc47af964e9</t>
  </si>
  <si>
    <t>Реализация товаров и услуг ЗСУП-002862 от 28.07.2025 10:56:35</t>
  </si>
  <si>
    <t>ЗСУП-002862</t>
  </si>
  <si>
    <t>e1cib/data/Документ.РеализацияТоваровУслуг?ref=ab6b0cc47af964e911f06b886194b3b8</t>
  </si>
  <si>
    <t>4bce1267-5c04-11f0-ab6b-0cc47af964e90893a63f-048c-11ef-ab64-0cc47af964e9</t>
  </si>
  <si>
    <t>ec745707-6c5a-11f0-ab6b-0cc47af964e9</t>
  </si>
  <si>
    <t>Реализация товаров и услуг ЗСУП-002875 от 29.07.2025 12:03:43</t>
  </si>
  <si>
    <t>ЗСУП-002875</t>
  </si>
  <si>
    <t>26 994,67</t>
  </si>
  <si>
    <t>e1cib/data/Документ.РеализацияТоваровУслуг?ref=ab6b0cc47af964e911f06c5aec745707</t>
  </si>
  <si>
    <t>bf436c7b-519f-11f0-ab6b-0cc47af964e90893a63f-048c-11ef-ab64-0cc47af964e9</t>
  </si>
  <si>
    <t>9adfbb6e-79a8-11f0-99b7-00155dde6a00</t>
  </si>
  <si>
    <t>Реализация товаров и услуг ЗСУП-003093 от 15.08.2025 10:22:31</t>
  </si>
  <si>
    <t>ЗСУП-003093</t>
  </si>
  <si>
    <t>e1cib/data/Документ.РеализацияТоваровУслуг?ref=99b700155dde6a0011f079a89adfbb6e</t>
  </si>
  <si>
    <t>17f928b2-67cd-11f0-ab6b-0cc47af964e90893a63f-048c-11ef-ab64-0cc47af964e9</t>
  </si>
  <si>
    <t>727e8b43-79a9-11f0-99b7-00155dde6a00</t>
  </si>
  <si>
    <t>Реализация товаров и услуг ЗСУП-003095 от 15.08.2025 10:28:33</t>
  </si>
  <si>
    <t>ЗСУП-003095</t>
  </si>
  <si>
    <t>8 400,00</t>
  </si>
  <si>
    <t>e1cib/data/Документ.РеализацияТоваровУслуг?ref=99b700155dde6a0011f079a9727e8b43</t>
  </si>
  <si>
    <t>a413654c-6948-11f0-ab6b-0cc47af964e90893a63f-048c-11ef-ab64-0cc47af964e9</t>
  </si>
  <si>
    <t>45c43427-7c09-11f0-99b7-00155dde6a00</t>
  </si>
  <si>
    <t>Реализация товаров и услуг ЗСУП-003116 от 18.08.2025 10:59:32</t>
  </si>
  <si>
    <t>ЗСУП-003116</t>
  </si>
  <si>
    <t>2 292,00</t>
  </si>
  <si>
    <t>e1cib/data/Документ.РеализацияТоваровУслуг?ref=99b700155dde6a0011f07c0945c43427</t>
  </si>
  <si>
    <t>c0a6183f-6c52-11f0-ab6b-0cc47af964e90893a63f-048c-11ef-ab64-0cc47af964e9</t>
  </si>
  <si>
    <t>08ffdc10-84d2-11f0-99b7-00155dde6a00</t>
  </si>
  <si>
    <t>Реализация товаров и услуг ЗСУП-003345 от 29.08.2025 15:16:48</t>
  </si>
  <si>
    <t>ЗСУП-003345</t>
  </si>
  <si>
    <t>20 300,00</t>
  </si>
  <si>
    <t>e1cib/data/Документ.РеализацияТоваровУслуг?ref=99b700155dde6a0011f084d208ffdc10</t>
  </si>
  <si>
    <t>6fb64f4a-6e0e-11f0-ab6c-0cc47af964e90893a63f-048c-11ef-ab64-0cc47af964e9</t>
  </si>
  <si>
    <t>760dcc45-8a23-11f0-99b7-00155dde6a00</t>
  </si>
  <si>
    <t>Реализация товаров и услуг ЗСУП-003390 от 05.09.2025 9:42:21</t>
  </si>
  <si>
    <t>ЗСУП-003390</t>
  </si>
  <si>
    <t>4 975,66</t>
  </si>
  <si>
    <t>e1cib/data/Документ.РеализацияТоваровУслуг?ref=99b700155dde6a0011f08a23760dcc45</t>
  </si>
  <si>
    <t>acfeab31-6d2a-11f0-ab6b-0cc47af964e90893a63f-048c-11ef-ab64-0cc47af964e9</t>
  </si>
  <si>
    <t>cc6f4fc6-9d07-11f0-99b7-00155dde6a00</t>
  </si>
  <si>
    <t>Реализация товаров и услуг ЗСУП-003638 от 29.09.2025 10:42:09</t>
  </si>
  <si>
    <t>ЗСУП-003638</t>
  </si>
  <si>
    <t>5 609,56</t>
  </si>
  <si>
    <t>e1cib/data/Документ.РеализацияТоваровУслуг?ref=99b700155dde6a0011f09d07cc6f4fc6</t>
  </si>
  <si>
    <t>aa591719-88b8-11f0-99b7-00155dde6a000893a63f-048c-11ef-ab64-0cc47af964e9</t>
  </si>
  <si>
    <t>4045b8df-9d36-11f0-99b7-00155dde6a00</t>
  </si>
  <si>
    <t>Реализация товаров и услуг ЗСУП-003650 от 29.09.2025 16:14:41</t>
  </si>
  <si>
    <t>ЗСУП-003650</t>
  </si>
  <si>
    <t>39 473,33</t>
  </si>
  <si>
    <t>e1cib/data/Документ.РеализацияТоваровУслуг?ref=99b700155dde6a0011f09d364045b8df</t>
  </si>
  <si>
    <t>f34dcc3e-834a-11f0-99b7-00155dde6a000893a63f-048c-11ef-ab64-0cc47af964e9</t>
  </si>
  <si>
    <t>4f30c5a2-9de3-11f0-99b7-00155dde6a00</t>
  </si>
  <si>
    <t>Реализация товаров и услуг ЗСУП-003686 от 30.09.2025 12:53:28</t>
  </si>
  <si>
    <t>ЗСУП-003686</t>
  </si>
  <si>
    <t>e1cib/data/Документ.РеализацияТоваровУслуг?ref=99b700155dde6a0011f09de34f30c5a2</t>
  </si>
  <si>
    <t>afffc6ca-84b4-11f0-99b7-00155dde6a000893a63f-048c-11ef-ab64-0cc47af964e9</t>
  </si>
  <si>
    <t>36f38872-c6bb-11f0-99b9-00155dde6a00</t>
  </si>
  <si>
    <t>Реализация товаров и услуг ЗСУП-004647 от 21.11.2025 12:19:43</t>
  </si>
  <si>
    <t>ЗСУП-004647</t>
  </si>
  <si>
    <t>e1cib/data/Документ.РеализацияТоваровУслуг?ref=99b900155dde6a0011f0c6bb36f38872</t>
  </si>
  <si>
    <t>2b1584a0-af4d-11f0-99b8-00155dde6a000893a63f-048c-11ef-ab64-0cc47af964e9</t>
  </si>
  <si>
    <t>6 533,33</t>
  </si>
  <si>
    <t>8b7e2c29-8fe7-11f0-99b7-00155dde6a000893a63f-048c-11ef-ab64-0cc47af964e9</t>
  </si>
  <si>
    <t>4bede1e9-ab22-11f0-99b7-00155dde6a00</t>
  </si>
  <si>
    <t>Реализация товаров и услуг ЗСУП-003977 от 17.10.2025 9:27:11</t>
  </si>
  <si>
    <t>ЗСУП-003977</t>
  </si>
  <si>
    <t>6 116,00</t>
  </si>
  <si>
    <t>e1cib/data/Документ.РеализацияТоваровУслуг?ref=99b700155dde6a0011f0ab224bede1e9</t>
  </si>
  <si>
    <t>f92ebe09-954e-11f0-99b7-00155dde6a000893a63f-048c-11ef-ab64-0cc47af964e9</t>
  </si>
  <si>
    <t>d2ee6a33-b325-11f0-99b8-00155dde6a00</t>
  </si>
  <si>
    <t>Реализация товаров и услуг ЗСУП-004119 от 27.10.2025 14:12:30</t>
  </si>
  <si>
    <t>ЗСУП-004119</t>
  </si>
  <si>
    <t>16 333,33</t>
  </si>
  <si>
    <t>e1cib/data/Документ.РеализацияТоваровУслуг?ref=99b800155dde6a0011f0b325d2ee6a33</t>
  </si>
  <si>
    <t>34507be7-949a-11f0-99b7-00155dde6a000893a63f-048c-11ef-ab64-0cc47af964e9</t>
  </si>
  <si>
    <t>bba5752f-b329-11f0-99b8-00155dde6a00</t>
  </si>
  <si>
    <t>Реализация товаров и услуг ЗСУП-004133 от 27.10.2025 14:40:28</t>
  </si>
  <si>
    <t>ЗСУП-004133</t>
  </si>
  <si>
    <t>1 866,67</t>
  </si>
  <si>
    <t>e1cib/data/Документ.РеализацияТоваровУслуг?ref=99b800155dde6a0011f0b329bba5752f</t>
  </si>
  <si>
    <t>2b3df927-b32b-11f0-99b8-00155dde6a00</t>
  </si>
  <si>
    <t>Реализация товаров и услуг ЗСУП-004139 от 27.10.2025 14:50:44</t>
  </si>
  <si>
    <t>ЗСУП-004139</t>
  </si>
  <si>
    <t>8 919,17</t>
  </si>
  <si>
    <t>e1cib/data/Документ.РеализацияТоваровУслуг?ref=99b800155dde6a0011f0b32b2b3df927</t>
  </si>
  <si>
    <t>6062c7de-9d3e-11f0-99b7-00155dde6a000893a63f-048c-11ef-ab64-0cc47af964e9</t>
  </si>
  <si>
    <t>27 249,33</t>
  </si>
  <si>
    <t>3f4d9646-a441-11f0-99b7-00155dde6a000893a63f-048c-11ef-ab64-0cc47af964e9</t>
  </si>
  <si>
    <t>7665967c-b4af-11f0-99b8-00155dde6a00</t>
  </si>
  <si>
    <t>Реализация товаров и услуг ЗСУП-004200 от 29.10.2025 13:10:15</t>
  </si>
  <si>
    <t>ЗСУП-004200</t>
  </si>
  <si>
    <t>e1cib/data/Документ.РеализацияТоваровУслуг?ref=99b800155dde6a0011f0b4af7665967c</t>
  </si>
  <si>
    <t>b3889823-93bd-11f0-99b7-00155dde6a000893a63f-048c-11ef-ab64-0cc47af964e9</t>
  </si>
  <si>
    <t>6ff6e5cb-b71c-11f0-99b8-00155dde6a000893a63f-048c-11ef-ab64-0cc47af964e9</t>
  </si>
  <si>
    <t>1d075919-c552-11f0-99b9-00155dde6a00</t>
  </si>
  <si>
    <t>Реализация товаров и услуг ЗСУП-004614 от 21.11.2025 0:00:00</t>
  </si>
  <si>
    <t>ЗСУП-004614</t>
  </si>
  <si>
    <t>5 408,33</t>
  </si>
  <si>
    <t>e1cib/data/Документ.РеализацияТоваровУслуг?ref=99b900155dde6a0011f0c5521d075919</t>
  </si>
  <si>
    <t>40d300f8-6ba4-11f0-ab6b-0cc47af964e90893a63f-048c-11ef-ab64-0cc47af964e9</t>
  </si>
  <si>
    <t>053abe95-13be-11f1-99b9-00155dde6a00</t>
  </si>
  <si>
    <t>Реализация товаров и услуг ЗСУП-000592 от 27.02.2026 12:23:49</t>
  </si>
  <si>
    <t>16 295,15</t>
  </si>
  <si>
    <t>e1cib/data/Документ.РеализацияТоваровУслуг?ref=99b900155dde6a0011f113be053abe95</t>
  </si>
  <si>
    <t>670cadbb-0105-11f1-99b9-00155dde6a000893a63f-048c-11ef-ab64-0cc47af964e9</t>
  </si>
  <si>
    <t>10 855,74</t>
  </si>
  <si>
    <t>deac622f-010d-11f1-99b9-00155dde6a000893a63f-048c-11ef-ab64-0cc47af964e9</t>
  </si>
  <si>
    <t>b915e716-13e1-11f1-99b9-00155dde6a00</t>
  </si>
  <si>
    <t>Реализация товаров и услуг ЗСУП-000608 от 27.02.2026 16:39:24</t>
  </si>
  <si>
    <t>19 944,26</t>
  </si>
  <si>
    <t>e1cib/data/Документ.РеализацияТоваровУслуг?ref=99b900155dde6a0011f113e1b915e716</t>
  </si>
  <si>
    <t>6a5f63c4-f6a7-11f0-99b9-00155dde6a000893a63f-048c-11ef-ab64-0cc47af964e9</t>
  </si>
  <si>
    <t>8440ed46-30a5-11f0-ab6b-0cc47af964e9</t>
  </si>
  <si>
    <t>Реализация товаров и услуг ЗСУП-001928 от 14.05.2025 12:26:32</t>
  </si>
  <si>
    <t>ЗСУП-001928</t>
  </si>
  <si>
    <t>9 491,40</t>
  </si>
  <si>
    <t>e1cib/data/Документ.РеализацияТоваровУслуг?ref=ab6b0cc47af964e911f030a58440ed46</t>
  </si>
  <si>
    <t>45e201e1-3093-11f0-ab6b-0cc47af964e9000a1b10-c8be-11ed-ab59-0cc47af964e9</t>
  </si>
  <si>
    <t>УП-00085358</t>
  </si>
  <si>
    <t>3a78ecbb-cc65-11f0-99b9-00155dde6a00</t>
  </si>
  <si>
    <t>Реализация товаров и услуг ЗСУП-004833 от 28.11.2025 17:19:20</t>
  </si>
  <si>
    <t>ЗСУП-004833</t>
  </si>
  <si>
    <t>17 432,50</t>
  </si>
  <si>
    <t>e1cib/data/Документ.РеализацияТоваровУслуг?ref=99b900155dde6a0011f0cc653a78ecbb</t>
  </si>
  <si>
    <t>6ff6e5cb-b71c-11f0-99b8-00155dde6a0011577069-090f-11ef-ab64-0cc47af964e9</t>
  </si>
  <si>
    <t>УП-00099854</t>
  </si>
  <si>
    <t>26185780-dcb0-11f0-99b9-00155dde6a00</t>
  </si>
  <si>
    <t>Реализация товаров и услуг ЗСУП-005146 от 19.12.2025 10:56:03</t>
  </si>
  <si>
    <t>ЗСУП-005146</t>
  </si>
  <si>
    <t>9 738,67</t>
  </si>
  <si>
    <t>e1cib/data/Документ.РеализацияТоваровУслуг?ref=99b900155dde6a0011f0dcb026185780</t>
  </si>
  <si>
    <t>0778be3f-c61c-11f0-99b9-00155dde6a0011577069-090f-11ef-ab64-0cc47af964e9</t>
  </si>
  <si>
    <t>0d0d5979-e562-11f0-99b9-00155dde6a00</t>
  </si>
  <si>
    <t>Реализация товаров и услуг ЗСУП-005355 от 30.12.2025 12:29:34</t>
  </si>
  <si>
    <t>ЗСУП-005355</t>
  </si>
  <si>
    <t>e1cib/data/Документ.РеализацияТоваровУслуг?ref=99b900155dde6a0011f0e5620d0d5979</t>
  </si>
  <si>
    <t>28 814,23</t>
  </si>
  <si>
    <t>deac622f-010d-11f1-99b9-00155dde6a0011577069-090f-11ef-ab64-0cc47af964e9</t>
  </si>
  <si>
    <t>53c9dc80-93bc-11f0-99b7-00155dde6a00</t>
  </si>
  <si>
    <t>Реализация товаров и услуг ЗСУП-003463 от 17.09.2025 14:49:17</t>
  </si>
  <si>
    <t>ЗСУП-003463</t>
  </si>
  <si>
    <t>5 053,00</t>
  </si>
  <si>
    <t>e1cib/data/Документ.РеализацияТоваровУслуг?ref=99b700155dde6a0011f093bc53c9dc80</t>
  </si>
  <si>
    <t>7a584416-8a26-11f0-99b7-00155dde6a000013d1cd-3a4f-11e8-ab3d-0cc47af964e9</t>
  </si>
  <si>
    <t>УП-00025923</t>
  </si>
  <si>
    <t>28a6ce93-d5a6-11f0-99b9-00155dde6a00</t>
  </si>
  <si>
    <t>Реализация товаров и услуг ЗСУП-004987 от 10.12.2025 11:56:47</t>
  </si>
  <si>
    <t>ЗСУП-004987</t>
  </si>
  <si>
    <t>54 488,33</t>
  </si>
  <si>
    <t>e1cib/data/Документ.РеализацияТоваровУслуг?ref=99b900155dde6a0011f0d5a628a6ce93</t>
  </si>
  <si>
    <t>07f7e4d5-c465-11f0-99b9-00155dde6a00172c0e88-0c9d-11e8-80e6-00155d000d00</t>
  </si>
  <si>
    <t>00-00023210</t>
  </si>
  <si>
    <t>a93a2823-db10-11f0-99b9-00155dde6a00</t>
  </si>
  <si>
    <t>Реализация товаров и услуг ЗСУП-005098 от 17.12.2025 9:21:52</t>
  </si>
  <si>
    <t>ЗСУП-005098</t>
  </si>
  <si>
    <t>44 338,33</t>
  </si>
  <si>
    <t>e1cib/data/Документ.РеализацияТоваровУслуг?ref=99b900155dde6a0011f0db10a93a2823</t>
  </si>
  <si>
    <t>a752568c-cad1-11f0-99b9-00155dde6a00172c0e88-0c9d-11e8-80e6-00155d000d00</t>
  </si>
  <si>
    <t>25c83f2f-db11-11f0-99b9-00155dde6a00</t>
  </si>
  <si>
    <t>Реализация товаров и услуг ЗСУП-005100 от 17.12.2025 9:25:15</t>
  </si>
  <si>
    <t>ЗСУП-005100</t>
  </si>
  <si>
    <t>2 574,17</t>
  </si>
  <si>
    <t>e1cib/data/Документ.РеализацияТоваровУслуг?ref=99b900155dde6a0011f0db1125c83f2f</t>
  </si>
  <si>
    <t>86e156e2-da4e-11f0-99b9-00155dde6a00172c0e88-0c9d-11e8-80e6-00155d000d00</t>
  </si>
  <si>
    <t>4411aa91-e56c-11f0-99b9-00155dde6a00</t>
  </si>
  <si>
    <t>Реализация товаров и услуг ЗСУП-005365 от 30.12.2025 13:42:41</t>
  </si>
  <si>
    <t>ЗСУП-005365</t>
  </si>
  <si>
    <t>35 340,00</t>
  </si>
  <si>
    <t>e1cib/data/Документ.РеализацияТоваровУслуг?ref=99b900155dde6a0011f0e56c4411aa91</t>
  </si>
  <si>
    <t>b1ffbca0-cf8a-11f0-99b9-00155dde6a00172c0e88-0c9d-11e8-80e6-00155d000d00</t>
  </si>
  <si>
    <t>6ba31df3-d980-11f0-99b9-00155dde6a00</t>
  </si>
  <si>
    <t>Реализация товаров и услуг ЗСУП-005025 от 15.12.2025 9:36:44</t>
  </si>
  <si>
    <t>ЗСУП-005025</t>
  </si>
  <si>
    <t>34 207,33</t>
  </si>
  <si>
    <t>e1cib/data/Документ.РеализацияТоваровУслуг?ref=99b900155dde6a0011f0d9806ba31df3</t>
  </si>
  <si>
    <t>febcf67d-c606-11f0-99b9-00155dde6a00172c0e88-0c9d-11e8-80e6-00155d000d00</t>
  </si>
  <si>
    <t>department_id_1с</t>
  </si>
  <si>
    <t>Nomenclature_id_1с</t>
  </si>
  <si>
    <t>store_id_1с</t>
  </si>
  <si>
    <t>f38645b5-1d2d-11f1-99bb-00155dde6a00</t>
  </si>
  <si>
    <t>Заказ клиента ЗСУП-000768 от 06.03.2026 14:49:05</t>
  </si>
  <si>
    <t>50 790,00</t>
  </si>
  <si>
    <t>10 920,05</t>
  </si>
  <si>
    <t>21 840,10</t>
  </si>
  <si>
    <t>25 395,00</t>
  </si>
  <si>
    <t>e1cib/data/Документ.ЗаказКлиента?ref=99bb00155dde6a0011f11d2df38645b5</t>
  </si>
  <si>
    <t>Слопласт ТГ (/1320 х 3050 х 8,0/2/BITM/МТ//9736/9736//Н)</t>
  </si>
  <si>
    <t>80941762-16e0-11f1-99b9-00155dde6a00</t>
  </si>
  <si>
    <t>Заказ клиента ЗСУП-000715 от 03.03.2026 11:36:22</t>
  </si>
  <si>
    <t>188 988,00</t>
  </si>
  <si>
    <t>19 875,29</t>
  </si>
  <si>
    <t>119 251,74</t>
  </si>
  <si>
    <t>31 498,00</t>
  </si>
  <si>
    <t>e1cib/data/Документ.ЗаказКлиента?ref=99b900155dde6a0011f116e080941762</t>
  </si>
  <si>
    <t>653048a2-1955-11f1-99bb-00155dde6a00</t>
  </si>
  <si>
    <t>Заказ клиента ЗСУП-000770 от 06.03.2026 15:00:47</t>
  </si>
  <si>
    <t>152 370,00</t>
  </si>
  <si>
    <t>16 866,75</t>
  </si>
  <si>
    <t>101 200,50</t>
  </si>
  <si>
    <t>e1cib/data/Документ.ЗаказКлиента?ref=99bb00155dde6a0011f11955653048a2</t>
  </si>
  <si>
    <t>c236b5ca-1e1d-11f1-99bb-00155dde6a00</t>
  </si>
  <si>
    <t>Заказ клиента ЗСУП-000851 от 12.03.2026 17:08:18</t>
  </si>
  <si>
    <t>204 224,00</t>
  </si>
  <si>
    <t>33 164,09</t>
  </si>
  <si>
    <t>132 656,36</t>
  </si>
  <si>
    <t>51 056,00</t>
  </si>
  <si>
    <t>e1cib/data/Документ.ЗаказКлиента?ref=99bb00155dde6a0011f11e1dc236b5ca</t>
  </si>
  <si>
    <t>c6d95ff4-2269-11f1-99bb-00155dde6a00</t>
  </si>
  <si>
    <t>Заказ клиента ЗСУП-000936 от 18.03.2026 17:46:46</t>
  </si>
  <si>
    <t>e1cib/data/Документ.ЗаказКлиента?ref=99bb00155dde6a0011f12269c6d95ff4</t>
  </si>
  <si>
    <t>d0bbdb8d-1fe5-11f1-99bb-00155dde6a00</t>
  </si>
  <si>
    <t>Заказ клиента ЗСУП-000918 от 15.03.2026 17:49:55</t>
  </si>
  <si>
    <t>23 523,00</t>
  </si>
  <si>
    <t>17 522,25</t>
  </si>
  <si>
    <t>7 841,00</t>
  </si>
  <si>
    <t>e1cib/data/Документ.ЗаказКлиента?ref=99bb00155dde6a0011f11fe5d0bbdb8d</t>
  </si>
  <si>
    <t>3a7e6a32-1f4f-11f1-99bb-00155dde6a00</t>
  </si>
  <si>
    <t>Заказ клиента ЗСУП-000869 от 15.03.2026 11:47:47</t>
  </si>
  <si>
    <t>759 600,00</t>
  </si>
  <si>
    <t>615 060,00</t>
  </si>
  <si>
    <t>1 266,00</t>
  </si>
  <si>
    <t>e1cib/data/Документ.ЗаказКлиента?ref=99bb00155dde6a0011f11f4f3a7e6a32</t>
  </si>
  <si>
    <t>14fdc30b-1d31-11f1-99bb-00155dde6a00</t>
  </si>
  <si>
    <t>Заказ клиента ЗСУП-000824 от 11.03.2026 14:30:03</t>
  </si>
  <si>
    <t>e1cib/data/Документ.ЗаказКлиента?ref=99bb00155dde6a0011f11d3114fdc30b</t>
  </si>
  <si>
    <t>d30b1e43-164d-11f1-99b9-00155dde6a00</t>
  </si>
  <si>
    <t>Заказ клиента ЗСУП-000812 от 27.02.2026 0:00:00</t>
  </si>
  <si>
    <t>e1cib/data/Документ.ЗаказКлиента?ref=99b900155dde6a0011f1164dd30b1e43</t>
  </si>
  <si>
    <t>e2e7dc1d-0bbd-11f1-99b9-00155dde6a00</t>
  </si>
  <si>
    <t>Заказ клиента ЗСУП-000564 от 16.02.2026 17:02:45</t>
  </si>
  <si>
    <t>22 149,00</t>
  </si>
  <si>
    <t>e1cib/data/Документ.ЗаказКлиента?ref=99b900155dde6a0011f10bbde2e7dc1d</t>
  </si>
  <si>
    <t>Слопласт Д (/1320 х 3050 х 12,0/2/BIFM/Т//2760/2760//Н)</t>
  </si>
  <si>
    <t>ed25a087-212c-11f1-99bb-00155dde6a00</t>
  </si>
  <si>
    <t>Заказ клиента ЗСУП-000911 от 16.03.2026 14:29:36</t>
  </si>
  <si>
    <t>54 000,00</t>
  </si>
  <si>
    <t>e1cib/data/Документ.ЗаказКлиента?ref=99bb00155dde6a0011f1212ced25a087</t>
  </si>
  <si>
    <t>45b6d95f-fc4c-11f0-99b9-00155dde6a00</t>
  </si>
  <si>
    <t>Заказ клиента ЗСУП-000249 от 28.01.2026 16:06:42</t>
  </si>
  <si>
    <t>15 192,00</t>
  </si>
  <si>
    <t>e1cib/data/Документ.ЗаказКлиента?ref=99b900155dde6a0011f0fc4c45b6d95f</t>
  </si>
  <si>
    <t>882b5916-116f-11f1-99b9-00155dde6a00</t>
  </si>
  <si>
    <t>Заказ клиента ЗСУП-000609 от 24.02.2026 13:56:36</t>
  </si>
  <si>
    <t>49 536,00</t>
  </si>
  <si>
    <t>31 604,88</t>
  </si>
  <si>
    <t>6 192,00</t>
  </si>
  <si>
    <t>e1cib/data/Документ.ЗаказКлиента?ref=99b900155dde6a0011f1116f882b5916</t>
  </si>
  <si>
    <t>Факт - Amount (doc_Sales)</t>
  </si>
  <si>
    <t>Маркеры</t>
  </si>
  <si>
    <t>Даты - Date (doc_Sales)</t>
  </si>
  <si>
    <t>Связи</t>
  </si>
  <si>
    <t>b_crm_deal - ID</t>
  </si>
  <si>
    <t>b_uts_crm_deal - VALUE</t>
  </si>
  <si>
    <t>b_uts_crm_deal - № ЗК</t>
  </si>
  <si>
    <t>doc_OrderSales- Number</t>
  </si>
  <si>
    <t>doc_OrderSales- id 1c</t>
  </si>
  <si>
    <t>doc_Sales - Zakaz_id_1c</t>
  </si>
  <si>
    <t>doc_OrderSales- Partner id</t>
  </si>
  <si>
    <t>берем из Googlesheets</t>
  </si>
  <si>
    <t>https://docs.google.com/spreadsheets/d/e/2PACX-1vSBDkJMDuogKZmMW9zyKX9nEWSim1FqZWvib6JgMuTQHa8vmptQUss1Zu2RDZIVovRt26q1aIWg3rum/pub?output=xlsx</t>
  </si>
  <si>
    <t>spr_partners - id_1c</t>
  </si>
  <si>
    <t>Направление - direction (spr_partners)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</si>
</sst>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CC31D-85F0-401B-B969-D98E89BF4ABD}">
  <dimension ref="A2:B19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9" bestFit="1" customWidth="1"/>
    <col min="2" max="2" width="63.6640625" bestFit="1" customWidth="1"/>
  </cols>
  <sheetData>
    <row r="2" spans="1:2" x14ac:dyDescent="0.2">
      <c r="A2" t="s">
        <v>1355</v>
      </c>
      <c r="B2" t="s">
        <v>1368</v>
      </c>
    </row>
    <row r="3" spans="1:2" x14ac:dyDescent="0.2">
      <c r="B3" t="s">
        <v>214</v>
      </c>
    </row>
    <row r="4" spans="1:2" x14ac:dyDescent="0.2">
      <c r="B4" t="s">
        <v>215</v>
      </c>
    </row>
    <row r="5" spans="1:2" x14ac:dyDescent="0.2">
      <c r="B5" t="s">
        <v>1354</v>
      </c>
    </row>
    <row r="6" spans="1:2" x14ac:dyDescent="0.2">
      <c r="B6" t="s">
        <v>1356</v>
      </c>
    </row>
    <row r="9" spans="1:2" x14ac:dyDescent="0.2">
      <c r="A9" t="s">
        <v>1357</v>
      </c>
      <c r="B9" t="s">
        <v>1358</v>
      </c>
    </row>
    <row r="10" spans="1:2" x14ac:dyDescent="0.2">
      <c r="B10" t="s">
        <v>1359</v>
      </c>
    </row>
    <row r="12" spans="1:2" x14ac:dyDescent="0.2">
      <c r="B12" t="s">
        <v>1360</v>
      </c>
    </row>
    <row r="13" spans="1:2" x14ac:dyDescent="0.2">
      <c r="B13" t="s">
        <v>1361</v>
      </c>
    </row>
    <row r="15" spans="1:2" x14ac:dyDescent="0.2">
      <c r="B15" t="s">
        <v>1362</v>
      </c>
    </row>
    <row r="16" spans="1:2" x14ac:dyDescent="0.2">
      <c r="B16" t="s">
        <v>1363</v>
      </c>
    </row>
    <row r="18" spans="2:2" x14ac:dyDescent="0.2">
      <c r="B18" t="s">
        <v>1364</v>
      </c>
    </row>
    <row r="19" spans="2:2" x14ac:dyDescent="0.2">
      <c r="B19" t="s">
        <v>1367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F97B-8E7F-48FD-9791-FC4115706265}">
  <dimension ref="A1:AF29"/>
  <sheetViews>
    <sheetView workbookViewId="0">
      <selection sqref="A1:B1048576"/>
    </sheetView>
  </sheetViews>
  <sheetFormatPr baseColWidth="10" defaultColWidth="8.83203125" defaultRowHeight="15" x14ac:dyDescent="0.2"/>
  <cols>
    <col min="2" max="2" width="37.6640625" bestFit="1" customWidth="1"/>
    <col min="7" max="8" width="15.1640625" customWidth="1"/>
    <col min="12" max="12" width="14.5" customWidth="1"/>
    <col min="17" max="18" width="8.6640625" style="3"/>
  </cols>
  <sheetData>
    <row r="1" spans="1:32" ht="6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16</v>
      </c>
      <c r="R1" s="3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>
        <v>57250</v>
      </c>
      <c r="B2" t="s">
        <v>131</v>
      </c>
      <c r="C2">
        <v>110</v>
      </c>
      <c r="D2" s="1">
        <v>45734.458333333336</v>
      </c>
      <c r="E2" t="s">
        <v>55</v>
      </c>
      <c r="F2" t="s">
        <v>33</v>
      </c>
      <c r="G2" t="s">
        <v>132</v>
      </c>
      <c r="H2" t="s">
        <v>41</v>
      </c>
      <c r="I2" s="2">
        <v>45991</v>
      </c>
      <c r="J2" t="s">
        <v>32</v>
      </c>
      <c r="K2" t="s">
        <v>32</v>
      </c>
      <c r="L2" t="s">
        <v>132</v>
      </c>
      <c r="M2" s="1">
        <v>45734.458333333336</v>
      </c>
      <c r="N2" s="1">
        <v>45734.458333333336</v>
      </c>
      <c r="O2" t="s">
        <v>133</v>
      </c>
      <c r="P2" t="s">
        <v>134</v>
      </c>
      <c r="Q2" s="3">
        <v>500000</v>
      </c>
      <c r="R2" s="3">
        <v>4000000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>
        <v>3</v>
      </c>
      <c r="AB2" t="s">
        <v>34</v>
      </c>
      <c r="AC2" t="s">
        <v>135</v>
      </c>
      <c r="AD2">
        <v>2025</v>
      </c>
      <c r="AE2" t="s">
        <v>59</v>
      </c>
      <c r="AF2" t="s">
        <v>134</v>
      </c>
    </row>
    <row r="3" spans="1:32" x14ac:dyDescent="0.2">
      <c r="A3">
        <v>57249</v>
      </c>
      <c r="B3" t="s">
        <v>136</v>
      </c>
      <c r="C3">
        <v>101</v>
      </c>
      <c r="D3" s="1">
        <v>45734.447916666664</v>
      </c>
      <c r="E3" t="s">
        <v>55</v>
      </c>
      <c r="F3" t="s">
        <v>36</v>
      </c>
      <c r="G3" t="s">
        <v>132</v>
      </c>
      <c r="H3" t="s">
        <v>66</v>
      </c>
      <c r="I3" s="2">
        <v>45777</v>
      </c>
      <c r="J3" t="s">
        <v>137</v>
      </c>
      <c r="K3" t="s">
        <v>138</v>
      </c>
      <c r="L3" t="s">
        <v>132</v>
      </c>
      <c r="M3" s="1">
        <v>45734.451388888891</v>
      </c>
      <c r="N3" s="1">
        <v>45734.448611111111</v>
      </c>
      <c r="O3" t="s">
        <v>139</v>
      </c>
      <c r="P3" t="s">
        <v>140</v>
      </c>
      <c r="Q3" s="3">
        <v>1200000</v>
      </c>
      <c r="R3" s="3">
        <v>1200000</v>
      </c>
      <c r="S3">
        <v>10001</v>
      </c>
      <c r="T3">
        <v>10001</v>
      </c>
      <c r="U3" t="s">
        <v>32</v>
      </c>
      <c r="V3" t="s">
        <v>32</v>
      </c>
      <c r="W3" t="s">
        <v>32</v>
      </c>
      <c r="X3">
        <v>1200000</v>
      </c>
      <c r="Y3" t="s">
        <v>32</v>
      </c>
      <c r="Z3" t="s">
        <v>32</v>
      </c>
      <c r="AA3">
        <v>15</v>
      </c>
      <c r="AB3" t="s">
        <v>34</v>
      </c>
      <c r="AC3" t="s">
        <v>141</v>
      </c>
      <c r="AD3">
        <v>2025</v>
      </c>
      <c r="AE3" t="s">
        <v>59</v>
      </c>
      <c r="AF3" t="s">
        <v>140</v>
      </c>
    </row>
    <row r="4" spans="1:32" x14ac:dyDescent="0.2">
      <c r="A4">
        <v>57248</v>
      </c>
      <c r="B4" t="s">
        <v>142</v>
      </c>
      <c r="C4">
        <v>101</v>
      </c>
      <c r="D4" s="1">
        <v>45734.430555555555</v>
      </c>
      <c r="E4" t="s">
        <v>55</v>
      </c>
      <c r="F4" t="s">
        <v>36</v>
      </c>
      <c r="G4" t="s">
        <v>132</v>
      </c>
      <c r="H4" t="s">
        <v>66</v>
      </c>
      <c r="I4" s="2">
        <v>45779</v>
      </c>
      <c r="J4" t="s">
        <v>70</v>
      </c>
      <c r="K4" t="s">
        <v>143</v>
      </c>
      <c r="L4" t="s">
        <v>132</v>
      </c>
      <c r="M4" s="1">
        <v>45734.430555555555</v>
      </c>
      <c r="N4" s="1">
        <v>45734.431250000001</v>
      </c>
      <c r="O4" t="s">
        <v>139</v>
      </c>
      <c r="P4" t="s">
        <v>140</v>
      </c>
      <c r="Q4" s="3">
        <v>700000</v>
      </c>
      <c r="R4" s="3">
        <v>700000</v>
      </c>
      <c r="S4">
        <v>10002</v>
      </c>
      <c r="T4">
        <v>10002</v>
      </c>
      <c r="U4" t="s">
        <v>32</v>
      </c>
      <c r="V4" t="s">
        <v>32</v>
      </c>
      <c r="W4" t="s">
        <v>32</v>
      </c>
      <c r="X4">
        <v>1500000</v>
      </c>
      <c r="Y4" t="s">
        <v>32</v>
      </c>
      <c r="Z4" t="s">
        <v>32</v>
      </c>
      <c r="AA4">
        <v>15</v>
      </c>
      <c r="AB4" t="s">
        <v>34</v>
      </c>
      <c r="AC4" t="s">
        <v>144</v>
      </c>
      <c r="AD4">
        <v>2025</v>
      </c>
      <c r="AE4" t="s">
        <v>59</v>
      </c>
      <c r="AF4" t="s">
        <v>140</v>
      </c>
    </row>
    <row r="5" spans="1:32" x14ac:dyDescent="0.2">
      <c r="A5">
        <v>57247</v>
      </c>
      <c r="B5" t="s">
        <v>145</v>
      </c>
      <c r="C5">
        <v>101</v>
      </c>
      <c r="D5" s="1">
        <v>45734.427083333336</v>
      </c>
      <c r="E5" t="s">
        <v>55</v>
      </c>
      <c r="F5" t="s">
        <v>36</v>
      </c>
      <c r="G5" t="s">
        <v>132</v>
      </c>
      <c r="H5" t="s">
        <v>66</v>
      </c>
      <c r="I5" s="2">
        <v>45780</v>
      </c>
      <c r="J5" t="s">
        <v>42</v>
      </c>
      <c r="K5" t="s">
        <v>140</v>
      </c>
      <c r="L5" t="s">
        <v>132</v>
      </c>
      <c r="M5" s="1">
        <v>45734.427083333336</v>
      </c>
      <c r="N5" s="1">
        <v>45734.427777777775</v>
      </c>
      <c r="O5" t="s">
        <v>139</v>
      </c>
      <c r="P5" t="s">
        <v>140</v>
      </c>
      <c r="Q5" s="3">
        <v>650000</v>
      </c>
      <c r="R5" s="3">
        <v>650000</v>
      </c>
      <c r="S5">
        <v>10003</v>
      </c>
      <c r="T5">
        <v>10003</v>
      </c>
      <c r="U5" t="s">
        <v>32</v>
      </c>
      <c r="V5" t="s">
        <v>32</v>
      </c>
      <c r="W5" t="s">
        <v>32</v>
      </c>
      <c r="X5">
        <v>1300000</v>
      </c>
      <c r="Y5" t="s">
        <v>32</v>
      </c>
      <c r="Z5" t="s">
        <v>32</v>
      </c>
      <c r="AA5">
        <v>15</v>
      </c>
      <c r="AB5" t="s">
        <v>34</v>
      </c>
      <c r="AC5" t="s">
        <v>146</v>
      </c>
      <c r="AD5">
        <v>2025</v>
      </c>
      <c r="AE5" t="s">
        <v>59</v>
      </c>
      <c r="AF5" t="s">
        <v>140</v>
      </c>
    </row>
    <row r="6" spans="1:32" x14ac:dyDescent="0.2">
      <c r="A6">
        <v>57246</v>
      </c>
      <c r="B6" t="s">
        <v>147</v>
      </c>
      <c r="C6">
        <v>107</v>
      </c>
      <c r="D6" s="1">
        <v>45734.416666666664</v>
      </c>
      <c r="E6" t="s">
        <v>55</v>
      </c>
      <c r="F6" t="s">
        <v>36</v>
      </c>
      <c r="G6" t="s">
        <v>132</v>
      </c>
      <c r="H6" t="s">
        <v>66</v>
      </c>
      <c r="I6" s="2">
        <v>45807</v>
      </c>
      <c r="J6" t="s">
        <v>148</v>
      </c>
      <c r="K6" t="s">
        <v>149</v>
      </c>
      <c r="L6" t="s">
        <v>132</v>
      </c>
      <c r="M6" s="1">
        <v>45734.416666666664</v>
      </c>
      <c r="N6" s="1">
        <v>45734.416666666664</v>
      </c>
      <c r="O6" t="s">
        <v>139</v>
      </c>
      <c r="P6" t="s">
        <v>67</v>
      </c>
      <c r="Q6" s="3">
        <v>3500000</v>
      </c>
      <c r="R6" s="3">
        <v>3500000</v>
      </c>
      <c r="S6">
        <v>10004</v>
      </c>
      <c r="T6">
        <v>10004</v>
      </c>
      <c r="U6" t="s">
        <v>32</v>
      </c>
      <c r="V6" t="s">
        <v>32</v>
      </c>
      <c r="W6" t="s">
        <v>32</v>
      </c>
      <c r="X6">
        <v>600000</v>
      </c>
      <c r="Y6" t="s">
        <v>32</v>
      </c>
      <c r="Z6" t="s">
        <v>32</v>
      </c>
      <c r="AA6">
        <v>15</v>
      </c>
      <c r="AB6" t="s">
        <v>34</v>
      </c>
      <c r="AC6" t="s">
        <v>150</v>
      </c>
      <c r="AD6">
        <v>2025</v>
      </c>
      <c r="AE6" t="s">
        <v>68</v>
      </c>
      <c r="AF6" t="s">
        <v>67</v>
      </c>
    </row>
    <row r="7" spans="1:32" x14ac:dyDescent="0.2">
      <c r="A7">
        <v>57245</v>
      </c>
      <c r="B7" t="s">
        <v>151</v>
      </c>
      <c r="C7">
        <v>102</v>
      </c>
      <c r="D7" s="1">
        <v>45734.40625</v>
      </c>
      <c r="E7" t="s">
        <v>55</v>
      </c>
      <c r="F7" t="s">
        <v>33</v>
      </c>
      <c r="G7" t="s">
        <v>132</v>
      </c>
      <c r="H7" t="s">
        <v>54</v>
      </c>
      <c r="I7" s="2">
        <v>45867</v>
      </c>
      <c r="J7" t="s">
        <v>32</v>
      </c>
      <c r="K7" t="s">
        <v>32</v>
      </c>
      <c r="L7" t="s">
        <v>132</v>
      </c>
      <c r="M7" s="1">
        <v>45734.458333333336</v>
      </c>
      <c r="N7" s="1">
        <v>45734.409722222219</v>
      </c>
      <c r="O7" t="s">
        <v>133</v>
      </c>
      <c r="P7" t="s">
        <v>60</v>
      </c>
      <c r="Q7" s="3">
        <v>0</v>
      </c>
      <c r="R7" s="3">
        <v>0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>
        <v>3</v>
      </c>
      <c r="AB7" t="s">
        <v>34</v>
      </c>
      <c r="AC7" t="s">
        <v>152</v>
      </c>
      <c r="AD7">
        <v>2025</v>
      </c>
      <c r="AE7" t="s">
        <v>59</v>
      </c>
      <c r="AF7" t="s">
        <v>60</v>
      </c>
    </row>
    <row r="8" spans="1:32" x14ac:dyDescent="0.2">
      <c r="A8">
        <v>57244</v>
      </c>
      <c r="B8" t="s">
        <v>153</v>
      </c>
      <c r="C8">
        <v>110</v>
      </c>
      <c r="D8" s="1">
        <v>45734.395833333336</v>
      </c>
      <c r="E8" t="s">
        <v>55</v>
      </c>
      <c r="F8" t="s">
        <v>33</v>
      </c>
      <c r="G8" t="s">
        <v>132</v>
      </c>
      <c r="H8" t="s">
        <v>38</v>
      </c>
      <c r="I8" s="2">
        <v>45838</v>
      </c>
      <c r="J8" t="s">
        <v>137</v>
      </c>
      <c r="K8" t="s">
        <v>138</v>
      </c>
      <c r="L8" t="s">
        <v>132</v>
      </c>
      <c r="M8" s="1">
        <v>45734.458333333336</v>
      </c>
      <c r="N8" s="1">
        <v>45734.427083333336</v>
      </c>
      <c r="O8" t="s">
        <v>133</v>
      </c>
      <c r="P8" t="s">
        <v>134</v>
      </c>
      <c r="Q8" s="3">
        <v>2000000</v>
      </c>
      <c r="R8" s="3">
        <v>2000000</v>
      </c>
      <c r="S8">
        <v>10001</v>
      </c>
      <c r="T8">
        <v>10001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58</v>
      </c>
      <c r="AC8" t="s">
        <v>154</v>
      </c>
      <c r="AD8">
        <v>2025</v>
      </c>
      <c r="AE8" t="s">
        <v>59</v>
      </c>
      <c r="AF8" t="s">
        <v>134</v>
      </c>
    </row>
    <row r="9" spans="1:32" x14ac:dyDescent="0.2">
      <c r="A9">
        <v>57243</v>
      </c>
      <c r="B9" t="s">
        <v>155</v>
      </c>
      <c r="C9">
        <v>112</v>
      </c>
      <c r="D9" s="1">
        <v>45734.375</v>
      </c>
      <c r="E9" t="s">
        <v>156</v>
      </c>
      <c r="F9" t="s">
        <v>40</v>
      </c>
      <c r="G9" t="s">
        <v>40</v>
      </c>
      <c r="H9" t="s">
        <v>40</v>
      </c>
      <c r="I9" s="2" t="s">
        <v>32</v>
      </c>
      <c r="J9" t="s">
        <v>32</v>
      </c>
      <c r="K9" t="s">
        <v>32</v>
      </c>
      <c r="L9" t="s">
        <v>40</v>
      </c>
      <c r="M9" s="1">
        <v>45734.375</v>
      </c>
      <c r="N9" s="1">
        <v>45734.375694444447</v>
      </c>
      <c r="O9" t="s">
        <v>133</v>
      </c>
      <c r="P9" t="s">
        <v>71</v>
      </c>
      <c r="Q9" s="3">
        <v>0</v>
      </c>
      <c r="R9" s="3">
        <v>0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58</v>
      </c>
      <c r="AC9" t="s">
        <v>157</v>
      </c>
      <c r="AD9">
        <v>2025</v>
      </c>
      <c r="AE9" t="s">
        <v>59</v>
      </c>
      <c r="AF9" t="s">
        <v>32</v>
      </c>
    </row>
    <row r="10" spans="1:32" x14ac:dyDescent="0.2">
      <c r="A10">
        <v>57242</v>
      </c>
      <c r="B10" t="s">
        <v>158</v>
      </c>
      <c r="C10">
        <v>107</v>
      </c>
      <c r="D10" s="1">
        <v>45734.354166666664</v>
      </c>
      <c r="E10" t="s">
        <v>55</v>
      </c>
      <c r="F10" t="s">
        <v>56</v>
      </c>
      <c r="G10" t="s">
        <v>62</v>
      </c>
      <c r="H10" t="s">
        <v>35</v>
      </c>
      <c r="I10" s="2">
        <v>45899</v>
      </c>
      <c r="J10" t="s">
        <v>43</v>
      </c>
      <c r="K10" t="s">
        <v>67</v>
      </c>
      <c r="L10" t="s">
        <v>62</v>
      </c>
      <c r="M10" s="1">
        <v>45734.354166666664</v>
      </c>
      <c r="N10" s="1">
        <v>45734.357638888891</v>
      </c>
      <c r="O10" t="s">
        <v>133</v>
      </c>
      <c r="P10" t="s">
        <v>67</v>
      </c>
      <c r="Q10" s="3">
        <v>0</v>
      </c>
      <c r="R10" s="3">
        <v>0</v>
      </c>
      <c r="S10">
        <v>10005</v>
      </c>
      <c r="T10">
        <v>10005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58</v>
      </c>
      <c r="AC10" t="s">
        <v>159</v>
      </c>
      <c r="AD10">
        <v>2025</v>
      </c>
      <c r="AE10" t="s">
        <v>59</v>
      </c>
      <c r="AF10" t="s">
        <v>67</v>
      </c>
    </row>
    <row r="11" spans="1:32" x14ac:dyDescent="0.2">
      <c r="A11">
        <v>57241</v>
      </c>
      <c r="B11" t="s">
        <v>160</v>
      </c>
      <c r="C11">
        <v>104</v>
      </c>
      <c r="D11" s="1">
        <v>45734.34375</v>
      </c>
      <c r="E11" t="s">
        <v>55</v>
      </c>
      <c r="F11" t="s">
        <v>36</v>
      </c>
      <c r="G11" t="s">
        <v>132</v>
      </c>
      <c r="H11" t="s">
        <v>37</v>
      </c>
      <c r="I11" s="2">
        <v>45747</v>
      </c>
      <c r="J11" t="s">
        <v>161</v>
      </c>
      <c r="K11" t="s">
        <v>134</v>
      </c>
      <c r="L11" t="s">
        <v>132</v>
      </c>
      <c r="M11" s="1">
        <v>45734.34375</v>
      </c>
      <c r="N11" s="1">
        <v>45734.347222222219</v>
      </c>
      <c r="O11" t="s">
        <v>162</v>
      </c>
      <c r="P11" t="s">
        <v>63</v>
      </c>
      <c r="Q11" s="3">
        <v>500000</v>
      </c>
      <c r="R11" s="3">
        <v>500000</v>
      </c>
      <c r="S11">
        <v>10006</v>
      </c>
      <c r="T11">
        <v>10006</v>
      </c>
      <c r="U11" t="s">
        <v>32</v>
      </c>
      <c r="V11" t="s">
        <v>32</v>
      </c>
      <c r="W11" t="s">
        <v>32</v>
      </c>
      <c r="X11">
        <v>500000</v>
      </c>
      <c r="Y11" t="s">
        <v>32</v>
      </c>
      <c r="Z11">
        <v>500000</v>
      </c>
      <c r="AA11">
        <v>5</v>
      </c>
      <c r="AB11" t="s">
        <v>34</v>
      </c>
      <c r="AC11" t="s">
        <v>163</v>
      </c>
      <c r="AD11">
        <v>2025</v>
      </c>
      <c r="AE11" t="s">
        <v>59</v>
      </c>
      <c r="AF11" t="s">
        <v>63</v>
      </c>
    </row>
    <row r="12" spans="1:32" x14ac:dyDescent="0.2">
      <c r="A12">
        <v>57240</v>
      </c>
      <c r="B12" t="s">
        <v>164</v>
      </c>
      <c r="C12">
        <v>110</v>
      </c>
      <c r="D12" s="1">
        <v>45734.333333333336</v>
      </c>
      <c r="E12" t="s">
        <v>55</v>
      </c>
      <c r="F12" t="s">
        <v>33</v>
      </c>
      <c r="G12" t="s">
        <v>132</v>
      </c>
      <c r="H12" t="s">
        <v>38</v>
      </c>
      <c r="I12" s="2">
        <v>45870</v>
      </c>
      <c r="J12" t="s">
        <v>70</v>
      </c>
      <c r="K12" t="s">
        <v>140</v>
      </c>
      <c r="L12" t="s">
        <v>132</v>
      </c>
      <c r="M12" s="1">
        <v>45734.333333333336</v>
      </c>
      <c r="N12" s="1">
        <v>45734.395833333336</v>
      </c>
      <c r="O12" t="s">
        <v>133</v>
      </c>
      <c r="P12" t="s">
        <v>134</v>
      </c>
      <c r="Q12" s="3">
        <v>2000000</v>
      </c>
      <c r="R12" s="3">
        <v>2000000</v>
      </c>
      <c r="S12">
        <v>10007</v>
      </c>
      <c r="T12">
        <v>10007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58</v>
      </c>
      <c r="AC12" t="s">
        <v>165</v>
      </c>
      <c r="AD12">
        <v>2025</v>
      </c>
      <c r="AE12" t="s">
        <v>59</v>
      </c>
      <c r="AF12" t="s">
        <v>134</v>
      </c>
    </row>
    <row r="13" spans="1:32" x14ac:dyDescent="0.2">
      <c r="A13">
        <v>57239</v>
      </c>
      <c r="B13" t="s">
        <v>166</v>
      </c>
      <c r="C13">
        <v>113</v>
      </c>
      <c r="D13" s="1">
        <v>45734.333333333336</v>
      </c>
      <c r="E13" t="s">
        <v>55</v>
      </c>
      <c r="F13" t="s">
        <v>36</v>
      </c>
      <c r="G13" t="s">
        <v>132</v>
      </c>
      <c r="H13" t="s">
        <v>66</v>
      </c>
      <c r="I13" s="2">
        <v>45747</v>
      </c>
      <c r="J13" t="s">
        <v>167</v>
      </c>
      <c r="K13" t="s">
        <v>140</v>
      </c>
      <c r="L13" t="s">
        <v>132</v>
      </c>
      <c r="M13" s="1">
        <v>45734.5</v>
      </c>
      <c r="N13" s="1">
        <v>45734.333333333336</v>
      </c>
      <c r="O13" t="s">
        <v>139</v>
      </c>
      <c r="P13" t="s">
        <v>168</v>
      </c>
      <c r="Q13" s="3">
        <v>50000</v>
      </c>
      <c r="R13" s="3">
        <v>50000</v>
      </c>
      <c r="S13">
        <v>10008</v>
      </c>
      <c r="T13">
        <v>10008</v>
      </c>
      <c r="U13" t="s">
        <v>32</v>
      </c>
      <c r="V13" t="s">
        <v>32</v>
      </c>
      <c r="W13" t="s">
        <v>32</v>
      </c>
      <c r="X13">
        <v>50000</v>
      </c>
      <c r="Y13" t="s">
        <v>32</v>
      </c>
      <c r="Z13">
        <v>40000</v>
      </c>
      <c r="AA13">
        <v>15</v>
      </c>
      <c r="AB13" t="s">
        <v>34</v>
      </c>
      <c r="AC13" t="s">
        <v>169</v>
      </c>
      <c r="AD13">
        <v>2025</v>
      </c>
      <c r="AE13" t="s">
        <v>68</v>
      </c>
      <c r="AF13" t="s">
        <v>168</v>
      </c>
    </row>
    <row r="14" spans="1:32" x14ac:dyDescent="0.2">
      <c r="A14">
        <v>57238</v>
      </c>
      <c r="B14" t="s">
        <v>170</v>
      </c>
      <c r="C14">
        <v>110</v>
      </c>
      <c r="D14" s="1">
        <v>45734.322916666664</v>
      </c>
      <c r="E14" t="s">
        <v>55</v>
      </c>
      <c r="F14" t="s">
        <v>36</v>
      </c>
      <c r="G14" t="s">
        <v>132</v>
      </c>
      <c r="H14" t="s">
        <v>66</v>
      </c>
      <c r="I14" s="2">
        <v>45747</v>
      </c>
      <c r="J14" t="s">
        <v>171</v>
      </c>
      <c r="K14" t="s">
        <v>134</v>
      </c>
      <c r="L14" t="s">
        <v>132</v>
      </c>
      <c r="M14" s="1">
        <v>45734.5</v>
      </c>
      <c r="N14" s="1">
        <v>45734.326388888891</v>
      </c>
      <c r="O14" t="s">
        <v>139</v>
      </c>
      <c r="P14" t="s">
        <v>134</v>
      </c>
      <c r="Q14" s="3">
        <v>150000</v>
      </c>
      <c r="R14" s="3">
        <v>150000</v>
      </c>
      <c r="S14">
        <v>10009</v>
      </c>
      <c r="T14">
        <v>10009</v>
      </c>
      <c r="U14" t="s">
        <v>32</v>
      </c>
      <c r="V14" t="s">
        <v>32</v>
      </c>
      <c r="W14" t="s">
        <v>32</v>
      </c>
      <c r="X14">
        <v>150000</v>
      </c>
      <c r="Y14" t="s">
        <v>32</v>
      </c>
      <c r="Z14" t="s">
        <v>32</v>
      </c>
      <c r="AA14">
        <v>15</v>
      </c>
      <c r="AB14" t="s">
        <v>34</v>
      </c>
      <c r="AC14" t="s">
        <v>172</v>
      </c>
      <c r="AD14">
        <v>2025</v>
      </c>
      <c r="AE14" t="s">
        <v>59</v>
      </c>
      <c r="AF14" t="s">
        <v>134</v>
      </c>
    </row>
    <row r="15" spans="1:32" x14ac:dyDescent="0.2">
      <c r="A15">
        <v>57237</v>
      </c>
      <c r="B15" t="s">
        <v>173</v>
      </c>
      <c r="C15">
        <v>108</v>
      </c>
      <c r="D15" s="1">
        <v>45734.3125</v>
      </c>
      <c r="E15" t="s">
        <v>55</v>
      </c>
      <c r="F15" t="s">
        <v>36</v>
      </c>
      <c r="G15" t="s">
        <v>132</v>
      </c>
      <c r="H15" t="s">
        <v>44</v>
      </c>
      <c r="I15" s="2">
        <v>45746</v>
      </c>
      <c r="J15" t="s">
        <v>123</v>
      </c>
      <c r="K15" t="s">
        <v>138</v>
      </c>
      <c r="L15" t="s">
        <v>132</v>
      </c>
      <c r="M15" s="1">
        <v>45734.520833333336</v>
      </c>
      <c r="N15" s="1">
        <v>45734.319444444445</v>
      </c>
      <c r="O15" t="s">
        <v>174</v>
      </c>
      <c r="P15" t="s">
        <v>138</v>
      </c>
      <c r="Q15" s="3">
        <v>400000</v>
      </c>
      <c r="R15" s="3">
        <v>400000</v>
      </c>
      <c r="S15">
        <v>10010</v>
      </c>
      <c r="T15">
        <v>10010</v>
      </c>
      <c r="U15" t="s">
        <v>32</v>
      </c>
      <c r="V15" t="s">
        <v>32</v>
      </c>
      <c r="W15" t="s">
        <v>32</v>
      </c>
      <c r="X15">
        <v>400000</v>
      </c>
      <c r="Y15" t="s">
        <v>32</v>
      </c>
      <c r="Z15">
        <v>500000</v>
      </c>
      <c r="AA15">
        <v>5</v>
      </c>
      <c r="AB15" t="s">
        <v>34</v>
      </c>
      <c r="AC15" t="s">
        <v>175</v>
      </c>
      <c r="AD15">
        <v>2025</v>
      </c>
      <c r="AE15" t="s">
        <v>59</v>
      </c>
      <c r="AF15" t="s">
        <v>138</v>
      </c>
    </row>
    <row r="16" spans="1:32" x14ac:dyDescent="0.2">
      <c r="A16">
        <v>57236</v>
      </c>
      <c r="B16" t="s">
        <v>176</v>
      </c>
      <c r="C16">
        <v>107</v>
      </c>
      <c r="D16" s="1">
        <v>45734.302083333336</v>
      </c>
      <c r="E16" t="s">
        <v>55</v>
      </c>
      <c r="F16" t="s">
        <v>36</v>
      </c>
      <c r="G16" t="s">
        <v>177</v>
      </c>
      <c r="H16" t="s">
        <v>37</v>
      </c>
      <c r="I16" s="2">
        <v>45807</v>
      </c>
      <c r="J16" t="s">
        <v>45</v>
      </c>
      <c r="K16" t="s">
        <v>149</v>
      </c>
      <c r="L16" t="s">
        <v>177</v>
      </c>
      <c r="M16" s="1">
        <v>45734.302083333336</v>
      </c>
      <c r="N16" s="1">
        <v>45734.3125</v>
      </c>
      <c r="O16" t="s">
        <v>162</v>
      </c>
      <c r="P16" t="s">
        <v>67</v>
      </c>
      <c r="Q16" s="3">
        <v>800000</v>
      </c>
      <c r="R16" s="3">
        <v>800000</v>
      </c>
      <c r="S16">
        <v>10011</v>
      </c>
      <c r="T16">
        <v>10011</v>
      </c>
      <c r="U16" t="s">
        <v>32</v>
      </c>
      <c r="V16" t="s">
        <v>32</v>
      </c>
      <c r="W16">
        <v>800000</v>
      </c>
      <c r="X16" t="s">
        <v>32</v>
      </c>
      <c r="Y16" t="s">
        <v>32</v>
      </c>
      <c r="Z16" t="s">
        <v>32</v>
      </c>
      <c r="AA16">
        <v>5</v>
      </c>
      <c r="AB16" t="s">
        <v>34</v>
      </c>
      <c r="AC16" t="s">
        <v>178</v>
      </c>
      <c r="AD16">
        <v>2025</v>
      </c>
      <c r="AE16" t="s">
        <v>59</v>
      </c>
      <c r="AF16" t="s">
        <v>67</v>
      </c>
    </row>
    <row r="17" spans="1:32" x14ac:dyDescent="0.2">
      <c r="A17">
        <v>57235</v>
      </c>
      <c r="B17" t="s">
        <v>179</v>
      </c>
      <c r="C17">
        <v>104</v>
      </c>
      <c r="D17" s="1">
        <v>45734.284722222219</v>
      </c>
      <c r="E17" t="s">
        <v>55</v>
      </c>
      <c r="F17" t="s">
        <v>33</v>
      </c>
      <c r="G17" t="s">
        <v>132</v>
      </c>
      <c r="H17" t="s">
        <v>54</v>
      </c>
      <c r="I17" t="s">
        <v>32</v>
      </c>
      <c r="J17" t="s">
        <v>180</v>
      </c>
      <c r="K17" t="s">
        <v>61</v>
      </c>
      <c r="L17" t="s">
        <v>132</v>
      </c>
      <c r="M17" s="1">
        <v>45734.288194444445</v>
      </c>
      <c r="N17" s="1">
        <v>45734.291666666664</v>
      </c>
      <c r="O17" t="s">
        <v>133</v>
      </c>
      <c r="P17" t="s">
        <v>63</v>
      </c>
      <c r="Q17" s="3">
        <v>0</v>
      </c>
      <c r="R17" s="3">
        <v>0</v>
      </c>
      <c r="S17">
        <v>10012</v>
      </c>
      <c r="T17">
        <v>10012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>
        <v>3</v>
      </c>
      <c r="AB17" t="s">
        <v>34</v>
      </c>
      <c r="AC17" t="s">
        <v>181</v>
      </c>
      <c r="AD17">
        <v>2025</v>
      </c>
      <c r="AE17" t="s">
        <v>59</v>
      </c>
      <c r="AF17" t="s">
        <v>63</v>
      </c>
    </row>
    <row r="18" spans="1:32" x14ac:dyDescent="0.2">
      <c r="A18">
        <v>57234</v>
      </c>
      <c r="B18" t="s">
        <v>182</v>
      </c>
      <c r="C18">
        <v>106</v>
      </c>
      <c r="D18" s="1">
        <v>45733.6875</v>
      </c>
      <c r="E18" t="s">
        <v>55</v>
      </c>
      <c r="F18" t="s">
        <v>36</v>
      </c>
      <c r="G18" t="s">
        <v>64</v>
      </c>
      <c r="H18" t="s">
        <v>37</v>
      </c>
      <c r="I18" s="2">
        <v>45784</v>
      </c>
      <c r="J18" t="s">
        <v>183</v>
      </c>
      <c r="K18" t="s">
        <v>65</v>
      </c>
      <c r="L18" t="s">
        <v>64</v>
      </c>
      <c r="M18" s="1">
        <v>45734.333333333336</v>
      </c>
      <c r="N18" s="1">
        <v>45733.6875</v>
      </c>
      <c r="O18" t="s">
        <v>162</v>
      </c>
      <c r="P18" t="s">
        <v>65</v>
      </c>
      <c r="Q18" s="3">
        <v>1500000</v>
      </c>
      <c r="R18" s="3">
        <v>2000000</v>
      </c>
      <c r="S18">
        <v>10013</v>
      </c>
      <c r="T18">
        <v>10013</v>
      </c>
      <c r="U18" t="s">
        <v>32</v>
      </c>
      <c r="V18" t="s">
        <v>32</v>
      </c>
      <c r="W18">
        <v>2000000</v>
      </c>
      <c r="X18" t="s">
        <v>32</v>
      </c>
      <c r="Y18" t="s">
        <v>32</v>
      </c>
      <c r="Z18" t="s">
        <v>32</v>
      </c>
      <c r="AA18">
        <v>5</v>
      </c>
      <c r="AB18" t="s">
        <v>34</v>
      </c>
      <c r="AC18" t="s">
        <v>184</v>
      </c>
      <c r="AD18">
        <v>2025</v>
      </c>
      <c r="AE18" t="s">
        <v>59</v>
      </c>
      <c r="AF18" t="s">
        <v>65</v>
      </c>
    </row>
    <row r="19" spans="1:32" x14ac:dyDescent="0.2">
      <c r="A19">
        <v>57233</v>
      </c>
      <c r="B19" t="s">
        <v>185</v>
      </c>
      <c r="C19">
        <v>107</v>
      </c>
      <c r="D19" s="1">
        <v>45733.680555555555</v>
      </c>
      <c r="E19" t="s">
        <v>55</v>
      </c>
      <c r="F19" t="s">
        <v>36</v>
      </c>
      <c r="G19" t="s">
        <v>177</v>
      </c>
      <c r="H19" t="s">
        <v>186</v>
      </c>
      <c r="I19" s="2">
        <v>45747</v>
      </c>
      <c r="J19" t="s">
        <v>46</v>
      </c>
      <c r="K19" t="s">
        <v>140</v>
      </c>
      <c r="L19" t="s">
        <v>177</v>
      </c>
      <c r="M19" s="1">
        <v>45733.680555555555</v>
      </c>
      <c r="N19" s="1">
        <v>45733.684027777781</v>
      </c>
      <c r="O19" t="s">
        <v>162</v>
      </c>
      <c r="P19" t="s">
        <v>67</v>
      </c>
      <c r="Q19" s="3">
        <v>100000</v>
      </c>
      <c r="R19" s="3">
        <v>110000</v>
      </c>
      <c r="S19">
        <v>10014</v>
      </c>
      <c r="T19">
        <v>10014</v>
      </c>
      <c r="U19" t="s">
        <v>32</v>
      </c>
      <c r="V19" t="s">
        <v>32</v>
      </c>
      <c r="W19" t="s">
        <v>32</v>
      </c>
      <c r="X19">
        <v>110000</v>
      </c>
      <c r="Y19" t="s">
        <v>32</v>
      </c>
      <c r="Z19" t="s">
        <v>32</v>
      </c>
      <c r="AA19">
        <v>3</v>
      </c>
      <c r="AB19" t="s">
        <v>34</v>
      </c>
      <c r="AC19" t="s">
        <v>187</v>
      </c>
      <c r="AD19">
        <v>2025</v>
      </c>
      <c r="AE19" t="s">
        <v>59</v>
      </c>
      <c r="AF19" t="s">
        <v>67</v>
      </c>
    </row>
    <row r="20" spans="1:32" x14ac:dyDescent="0.2">
      <c r="A20">
        <v>57232</v>
      </c>
      <c r="B20" t="s">
        <v>188</v>
      </c>
      <c r="C20">
        <v>102</v>
      </c>
      <c r="D20" s="1">
        <v>45733.677083333336</v>
      </c>
      <c r="E20" t="s">
        <v>55</v>
      </c>
      <c r="F20" t="s">
        <v>33</v>
      </c>
      <c r="G20" t="s">
        <v>132</v>
      </c>
      <c r="H20" t="s">
        <v>54</v>
      </c>
      <c r="I20" s="2">
        <v>45867</v>
      </c>
      <c r="J20" t="s">
        <v>32</v>
      </c>
      <c r="K20" t="s">
        <v>32</v>
      </c>
      <c r="L20" t="s">
        <v>132</v>
      </c>
      <c r="M20" s="1">
        <v>45733.680555555555</v>
      </c>
      <c r="N20" s="1">
        <v>45733.680555555555</v>
      </c>
      <c r="O20" t="s">
        <v>133</v>
      </c>
      <c r="P20" t="s">
        <v>60</v>
      </c>
      <c r="Q20" s="3">
        <v>0</v>
      </c>
      <c r="R20" s="3">
        <v>0</v>
      </c>
      <c r="S20" t="s">
        <v>32</v>
      </c>
      <c r="T20" t="s">
        <v>32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>
        <v>3</v>
      </c>
      <c r="AB20" t="s">
        <v>34</v>
      </c>
      <c r="AC20" t="s">
        <v>189</v>
      </c>
      <c r="AD20">
        <v>2025</v>
      </c>
      <c r="AE20" t="s">
        <v>59</v>
      </c>
      <c r="AF20" t="s">
        <v>60</v>
      </c>
    </row>
    <row r="21" spans="1:32" x14ac:dyDescent="0.2">
      <c r="A21">
        <v>57231</v>
      </c>
      <c r="B21" t="s">
        <v>190</v>
      </c>
      <c r="C21">
        <v>102</v>
      </c>
      <c r="D21" s="1">
        <v>45733.666666666664</v>
      </c>
      <c r="E21" t="s">
        <v>156</v>
      </c>
      <c r="F21" t="s">
        <v>156</v>
      </c>
      <c r="G21" t="s">
        <v>132</v>
      </c>
      <c r="H21" t="s">
        <v>156</v>
      </c>
      <c r="I21" s="2">
        <v>45777</v>
      </c>
      <c r="J21" t="s">
        <v>123</v>
      </c>
      <c r="K21" t="s">
        <v>138</v>
      </c>
      <c r="L21" t="s">
        <v>132</v>
      </c>
      <c r="M21" s="1">
        <v>45733.666666666664</v>
      </c>
      <c r="N21" s="1">
        <v>45734.270833333336</v>
      </c>
      <c r="O21" t="s">
        <v>133</v>
      </c>
      <c r="P21" t="s">
        <v>60</v>
      </c>
      <c r="Q21" s="3">
        <v>80000</v>
      </c>
      <c r="R21" s="3">
        <v>80000</v>
      </c>
      <c r="S21">
        <v>10010</v>
      </c>
      <c r="T21">
        <v>10010</v>
      </c>
      <c r="U21" t="s">
        <v>32</v>
      </c>
      <c r="V21" t="s">
        <v>32</v>
      </c>
      <c r="W21" t="s">
        <v>32</v>
      </c>
      <c r="X21" t="s">
        <v>32</v>
      </c>
      <c r="Y21">
        <v>80000</v>
      </c>
      <c r="Z21">
        <v>70000</v>
      </c>
      <c r="AA21" t="s">
        <v>32</v>
      </c>
      <c r="AB21" t="s">
        <v>58</v>
      </c>
      <c r="AC21" t="s">
        <v>191</v>
      </c>
      <c r="AD21">
        <v>2025</v>
      </c>
      <c r="AE21" t="s">
        <v>59</v>
      </c>
      <c r="AF21" t="s">
        <v>60</v>
      </c>
    </row>
    <row r="22" spans="1:32" x14ac:dyDescent="0.2">
      <c r="A22">
        <v>57230</v>
      </c>
      <c r="B22" t="s">
        <v>192</v>
      </c>
      <c r="C22">
        <v>101</v>
      </c>
      <c r="D22" s="1">
        <v>45733.645833333336</v>
      </c>
      <c r="E22" t="s">
        <v>55</v>
      </c>
      <c r="F22" t="s">
        <v>56</v>
      </c>
      <c r="G22" t="s">
        <v>69</v>
      </c>
      <c r="H22" t="s">
        <v>53</v>
      </c>
      <c r="I22" s="2">
        <v>46163</v>
      </c>
      <c r="J22" t="s">
        <v>47</v>
      </c>
      <c r="K22" t="s">
        <v>193</v>
      </c>
      <c r="L22" t="s">
        <v>69</v>
      </c>
      <c r="M22" s="1">
        <v>45733.416666666664</v>
      </c>
      <c r="N22" s="1">
        <v>45733.1875</v>
      </c>
      <c r="O22" t="s">
        <v>133</v>
      </c>
      <c r="P22" t="s">
        <v>57</v>
      </c>
      <c r="Q22" s="3">
        <v>0</v>
      </c>
      <c r="R22" s="3">
        <v>8000000</v>
      </c>
      <c r="S22">
        <v>10015</v>
      </c>
      <c r="T22">
        <v>10015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58</v>
      </c>
      <c r="AC22" t="s">
        <v>194</v>
      </c>
      <c r="AD22">
        <v>2025</v>
      </c>
      <c r="AE22" t="s">
        <v>59</v>
      </c>
      <c r="AF22" t="s">
        <v>193</v>
      </c>
    </row>
    <row r="23" spans="1:32" x14ac:dyDescent="0.2">
      <c r="A23">
        <v>57229</v>
      </c>
      <c r="B23" t="s">
        <v>195</v>
      </c>
      <c r="C23">
        <v>102</v>
      </c>
      <c r="D23" s="1">
        <v>45733.638888888891</v>
      </c>
      <c r="E23" t="s">
        <v>55</v>
      </c>
      <c r="F23" t="s">
        <v>126</v>
      </c>
      <c r="G23" t="s">
        <v>132</v>
      </c>
      <c r="H23" t="s">
        <v>48</v>
      </c>
      <c r="I23" s="2">
        <v>45819</v>
      </c>
      <c r="J23" t="s">
        <v>123</v>
      </c>
      <c r="K23" t="s">
        <v>138</v>
      </c>
      <c r="L23" t="s">
        <v>132</v>
      </c>
      <c r="M23" s="1">
        <v>45734.520833333336</v>
      </c>
      <c r="N23" s="1">
        <v>45733.416666666664</v>
      </c>
      <c r="O23" t="s">
        <v>196</v>
      </c>
      <c r="P23" t="s">
        <v>60</v>
      </c>
      <c r="Q23" s="3">
        <v>900000</v>
      </c>
      <c r="R23" s="3">
        <v>900000</v>
      </c>
      <c r="S23">
        <v>10010</v>
      </c>
      <c r="T23">
        <v>10010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>
        <v>900000</v>
      </c>
      <c r="AA23">
        <v>2</v>
      </c>
      <c r="AB23" t="s">
        <v>34</v>
      </c>
      <c r="AC23" t="s">
        <v>197</v>
      </c>
      <c r="AD23">
        <v>2025</v>
      </c>
      <c r="AE23" t="s">
        <v>59</v>
      </c>
      <c r="AF23" t="s">
        <v>60</v>
      </c>
    </row>
    <row r="24" spans="1:32" x14ac:dyDescent="0.2">
      <c r="A24">
        <v>57228</v>
      </c>
      <c r="B24" t="s">
        <v>49</v>
      </c>
      <c r="C24">
        <v>110</v>
      </c>
      <c r="D24" s="1">
        <v>45733.604166666664</v>
      </c>
      <c r="E24" t="s">
        <v>55</v>
      </c>
      <c r="F24" t="s">
        <v>126</v>
      </c>
      <c r="G24" t="s">
        <v>132</v>
      </c>
      <c r="H24" t="s">
        <v>39</v>
      </c>
      <c r="I24" s="2">
        <v>46163</v>
      </c>
      <c r="J24" t="s">
        <v>47</v>
      </c>
      <c r="K24" t="s">
        <v>193</v>
      </c>
      <c r="L24" t="s">
        <v>132</v>
      </c>
      <c r="M24" s="1">
        <v>45733.416666666664</v>
      </c>
      <c r="N24" s="1">
        <v>45733.645833333336</v>
      </c>
      <c r="O24" t="s">
        <v>133</v>
      </c>
      <c r="P24" t="s">
        <v>134</v>
      </c>
      <c r="Q24" s="3">
        <v>2000000</v>
      </c>
      <c r="R24" s="3">
        <v>8000000</v>
      </c>
      <c r="S24">
        <v>10015</v>
      </c>
      <c r="T24">
        <v>10015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58</v>
      </c>
      <c r="AC24" t="s">
        <v>198</v>
      </c>
      <c r="AD24">
        <v>2025</v>
      </c>
      <c r="AE24" t="s">
        <v>59</v>
      </c>
      <c r="AF24" t="s">
        <v>134</v>
      </c>
    </row>
    <row r="25" spans="1:32" x14ac:dyDescent="0.2">
      <c r="A25">
        <v>57227</v>
      </c>
      <c r="B25" t="s">
        <v>199</v>
      </c>
      <c r="C25">
        <v>101</v>
      </c>
      <c r="D25" s="1">
        <v>45733.590277777781</v>
      </c>
      <c r="E25" t="s">
        <v>55</v>
      </c>
      <c r="F25" t="s">
        <v>36</v>
      </c>
      <c r="G25" t="s">
        <v>132</v>
      </c>
      <c r="H25" t="s">
        <v>66</v>
      </c>
      <c r="I25" s="2">
        <v>45736</v>
      </c>
      <c r="J25" t="s">
        <v>50</v>
      </c>
      <c r="K25" t="s">
        <v>140</v>
      </c>
      <c r="L25" t="s">
        <v>132</v>
      </c>
      <c r="M25" s="1">
        <v>45734.520833333336</v>
      </c>
      <c r="N25" s="1">
        <v>45733.590277777781</v>
      </c>
      <c r="O25" t="s">
        <v>139</v>
      </c>
      <c r="P25" t="s">
        <v>140</v>
      </c>
      <c r="Q25" s="3">
        <v>80000</v>
      </c>
      <c r="R25" s="3">
        <v>80000</v>
      </c>
      <c r="S25">
        <v>10016</v>
      </c>
      <c r="T25">
        <v>10016</v>
      </c>
      <c r="U25" t="s">
        <v>32</v>
      </c>
      <c r="V25" t="s">
        <v>32</v>
      </c>
      <c r="W25" t="s">
        <v>32</v>
      </c>
      <c r="X25">
        <v>80000</v>
      </c>
      <c r="Y25" t="s">
        <v>32</v>
      </c>
      <c r="Z25" t="s">
        <v>32</v>
      </c>
      <c r="AA25">
        <v>15</v>
      </c>
      <c r="AB25" t="s">
        <v>34</v>
      </c>
      <c r="AC25" t="s">
        <v>200</v>
      </c>
      <c r="AD25">
        <v>2025</v>
      </c>
      <c r="AE25" t="s">
        <v>68</v>
      </c>
      <c r="AF25" t="s">
        <v>140</v>
      </c>
    </row>
    <row r="26" spans="1:32" x14ac:dyDescent="0.2">
      <c r="A26">
        <v>57226</v>
      </c>
      <c r="B26" t="s">
        <v>201</v>
      </c>
      <c r="C26">
        <v>114</v>
      </c>
      <c r="D26" s="1">
        <v>45733.583333333336</v>
      </c>
      <c r="E26" t="s">
        <v>55</v>
      </c>
      <c r="F26" t="s">
        <v>56</v>
      </c>
      <c r="G26" t="s">
        <v>202</v>
      </c>
      <c r="H26" t="s">
        <v>51</v>
      </c>
      <c r="I26" s="2">
        <v>45799</v>
      </c>
      <c r="J26" t="s">
        <v>203</v>
      </c>
      <c r="K26" t="s">
        <v>65</v>
      </c>
      <c r="L26" t="s">
        <v>202</v>
      </c>
      <c r="M26" s="1">
        <v>45734.499305555553</v>
      </c>
      <c r="N26" s="1">
        <v>45733.583333333336</v>
      </c>
      <c r="O26" t="s">
        <v>133</v>
      </c>
      <c r="P26" t="s">
        <v>204</v>
      </c>
      <c r="Q26" s="3">
        <v>0</v>
      </c>
      <c r="R26" s="3">
        <v>0</v>
      </c>
      <c r="S26">
        <v>10017</v>
      </c>
      <c r="T26">
        <v>10017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58</v>
      </c>
      <c r="AC26" t="s">
        <v>205</v>
      </c>
      <c r="AD26">
        <v>2025</v>
      </c>
      <c r="AE26" t="s">
        <v>59</v>
      </c>
      <c r="AF26" t="s">
        <v>65</v>
      </c>
    </row>
    <row r="27" spans="1:32" x14ac:dyDescent="0.2">
      <c r="A27">
        <v>57225</v>
      </c>
      <c r="B27" t="s">
        <v>206</v>
      </c>
      <c r="C27">
        <v>114</v>
      </c>
      <c r="D27" s="1">
        <v>45733.579861111109</v>
      </c>
      <c r="E27" t="s">
        <v>55</v>
      </c>
      <c r="F27" t="s">
        <v>56</v>
      </c>
      <c r="G27" t="s">
        <v>207</v>
      </c>
      <c r="H27" t="s">
        <v>208</v>
      </c>
      <c r="I27" s="2">
        <v>45747</v>
      </c>
      <c r="J27" t="s">
        <v>52</v>
      </c>
      <c r="K27" t="s">
        <v>71</v>
      </c>
      <c r="L27" t="s">
        <v>207</v>
      </c>
      <c r="M27" s="1">
        <v>45733.579861111109</v>
      </c>
      <c r="N27" s="1">
        <v>45734.606944444444</v>
      </c>
      <c r="O27" t="s">
        <v>133</v>
      </c>
      <c r="P27" t="s">
        <v>204</v>
      </c>
      <c r="Q27" s="3">
        <v>0</v>
      </c>
      <c r="R27" s="3">
        <v>50000</v>
      </c>
      <c r="S27">
        <v>10018</v>
      </c>
      <c r="T27">
        <v>10018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58</v>
      </c>
      <c r="AC27" t="s">
        <v>209</v>
      </c>
      <c r="AD27">
        <v>2025</v>
      </c>
      <c r="AE27" t="s">
        <v>59</v>
      </c>
      <c r="AF27" t="s">
        <v>71</v>
      </c>
    </row>
    <row r="28" spans="1:32" x14ac:dyDescent="0.2">
      <c r="A28">
        <v>57224</v>
      </c>
      <c r="B28" t="s">
        <v>210</v>
      </c>
      <c r="C28">
        <v>114</v>
      </c>
      <c r="D28" s="1">
        <v>45733.576388888891</v>
      </c>
      <c r="E28" t="s">
        <v>55</v>
      </c>
      <c r="F28" t="s">
        <v>36</v>
      </c>
      <c r="G28" t="s">
        <v>202</v>
      </c>
      <c r="H28" t="s">
        <v>66</v>
      </c>
      <c r="I28" s="2">
        <v>45747</v>
      </c>
      <c r="J28" t="s">
        <v>203</v>
      </c>
      <c r="K28" t="s">
        <v>65</v>
      </c>
      <c r="L28" t="s">
        <v>202</v>
      </c>
      <c r="M28" s="1">
        <v>45734.499305555553</v>
      </c>
      <c r="N28" s="1">
        <v>45733.577777777777</v>
      </c>
      <c r="O28" t="s">
        <v>139</v>
      </c>
      <c r="P28" t="s">
        <v>204</v>
      </c>
      <c r="Q28" s="3">
        <v>1200000</v>
      </c>
      <c r="R28" s="3">
        <v>1200000</v>
      </c>
      <c r="S28">
        <v>10017</v>
      </c>
      <c r="T28">
        <v>10017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58</v>
      </c>
      <c r="AC28" t="s">
        <v>211</v>
      </c>
      <c r="AD28">
        <v>2025</v>
      </c>
      <c r="AE28" t="s">
        <v>59</v>
      </c>
      <c r="AF28" t="s">
        <v>65</v>
      </c>
    </row>
    <row r="29" spans="1:32" x14ac:dyDescent="0.2">
      <c r="A29">
        <v>57223</v>
      </c>
      <c r="B29" t="s">
        <v>212</v>
      </c>
      <c r="C29">
        <v>114</v>
      </c>
      <c r="D29" s="1">
        <v>45733.572916666664</v>
      </c>
      <c r="E29" t="s">
        <v>55</v>
      </c>
      <c r="F29" t="s">
        <v>56</v>
      </c>
      <c r="G29" t="s">
        <v>207</v>
      </c>
      <c r="H29" t="s">
        <v>208</v>
      </c>
      <c r="I29" s="2">
        <v>45722</v>
      </c>
      <c r="J29" t="s">
        <v>203</v>
      </c>
      <c r="K29" t="s">
        <v>65</v>
      </c>
      <c r="L29" t="s">
        <v>207</v>
      </c>
      <c r="M29" s="1">
        <v>45734.499305555553</v>
      </c>
      <c r="N29" s="1">
        <v>45733.572916666664</v>
      </c>
      <c r="O29" t="s">
        <v>133</v>
      </c>
      <c r="P29" t="s">
        <v>204</v>
      </c>
      <c r="Q29" s="3">
        <v>0</v>
      </c>
      <c r="R29" s="3">
        <v>80000</v>
      </c>
      <c r="S29">
        <v>10017</v>
      </c>
      <c r="T29">
        <v>10017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58</v>
      </c>
      <c r="AC29" t="s">
        <v>213</v>
      </c>
      <c r="AD29">
        <v>2025</v>
      </c>
      <c r="AE29" t="s">
        <v>59</v>
      </c>
      <c r="AF29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1BFB-5D69-4A00-BD12-8BDC65380935}">
  <dimension ref="A1:N32"/>
  <sheetViews>
    <sheetView workbookViewId="0">
      <selection activeCell="G1" sqref="G1"/>
    </sheetView>
  </sheetViews>
  <sheetFormatPr baseColWidth="10" defaultColWidth="8.83203125" defaultRowHeight="15" x14ac:dyDescent="0.2"/>
  <cols>
    <col min="2" max="2" width="31.83203125" customWidth="1"/>
    <col min="7" max="7" width="11.83203125" bestFit="1" customWidth="1"/>
  </cols>
  <sheetData>
    <row r="1" spans="1:14" x14ac:dyDescent="0.2">
      <c r="A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4" x14ac:dyDescent="0.2">
      <c r="A2">
        <v>57250</v>
      </c>
      <c r="B2" t="str">
        <f>VLOOKUP(A2,b_crm_deal!A:M,2,0)</f>
        <v>Жилой комплекс "Курский"</v>
      </c>
      <c r="C2" t="s">
        <v>131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</row>
    <row r="3" spans="1:14" x14ac:dyDescent="0.2">
      <c r="A3">
        <v>57249</v>
      </c>
      <c r="B3" t="str">
        <f>VLOOKUP(A3,b_crm_deal!A:M,2,0)</f>
        <v>Сибур, Анапа (дозаказ)</v>
      </c>
      <c r="C3" t="s">
        <v>136</v>
      </c>
      <c r="D3" t="s">
        <v>32</v>
      </c>
      <c r="E3" t="s">
        <v>32</v>
      </c>
      <c r="F3" t="s">
        <v>32</v>
      </c>
      <c r="G3" t="s">
        <v>85</v>
      </c>
      <c r="H3" t="s">
        <v>85</v>
      </c>
      <c r="I3" t="s">
        <v>32</v>
      </c>
      <c r="J3">
        <v>1250000</v>
      </c>
      <c r="K3" s="1">
        <v>45785</v>
      </c>
      <c r="L3" t="s">
        <v>32</v>
      </c>
      <c r="M3" t="s">
        <v>32</v>
      </c>
      <c r="N3" t="s">
        <v>32</v>
      </c>
    </row>
    <row r="4" spans="1:14" x14ac:dyDescent="0.2">
      <c r="A4">
        <v>57248</v>
      </c>
      <c r="B4" t="str">
        <f>VLOOKUP(A4,b_crm_deal!A:M,2,0)</f>
        <v>Артек (дозаказ)</v>
      </c>
      <c r="C4" t="s">
        <v>142</v>
      </c>
      <c r="D4" t="s">
        <v>32</v>
      </c>
      <c r="E4" t="s">
        <v>32</v>
      </c>
      <c r="F4" t="s">
        <v>32</v>
      </c>
      <c r="G4" t="s">
        <v>87</v>
      </c>
      <c r="H4" t="s">
        <v>89</v>
      </c>
      <c r="I4" t="s">
        <v>32</v>
      </c>
      <c r="J4">
        <v>900000</v>
      </c>
      <c r="K4" s="1">
        <v>45787</v>
      </c>
      <c r="L4" t="s">
        <v>32</v>
      </c>
      <c r="M4" t="s">
        <v>32</v>
      </c>
      <c r="N4" t="s">
        <v>32</v>
      </c>
    </row>
    <row r="5" spans="1:14" x14ac:dyDescent="0.2">
      <c r="A5">
        <v>57248</v>
      </c>
      <c r="B5" t="str">
        <f>VLOOKUP(A5,b_crm_deal!A:M,2,0)</f>
        <v>Артек (дозаказ)</v>
      </c>
      <c r="C5" t="s">
        <v>142</v>
      </c>
      <c r="D5" t="s">
        <v>32</v>
      </c>
      <c r="E5" t="s">
        <v>32</v>
      </c>
      <c r="F5" t="s">
        <v>32</v>
      </c>
      <c r="G5" t="s">
        <v>91</v>
      </c>
      <c r="H5" t="s">
        <v>89</v>
      </c>
      <c r="I5" t="s">
        <v>32</v>
      </c>
      <c r="J5">
        <v>450000</v>
      </c>
      <c r="K5" s="1">
        <v>45789</v>
      </c>
      <c r="L5" t="s">
        <v>32</v>
      </c>
      <c r="M5" t="s">
        <v>32</v>
      </c>
      <c r="N5" t="s">
        <v>32</v>
      </c>
    </row>
    <row r="6" spans="1:14" x14ac:dyDescent="0.2">
      <c r="A6">
        <v>57248</v>
      </c>
      <c r="B6" t="str">
        <f>VLOOKUP(A6,b_crm_deal!A:M,2,0)</f>
        <v>Артек (дозаказ)</v>
      </c>
      <c r="C6" t="s">
        <v>142</v>
      </c>
      <c r="D6" t="s">
        <v>32</v>
      </c>
      <c r="E6" t="s">
        <v>32</v>
      </c>
      <c r="F6" t="s">
        <v>32</v>
      </c>
      <c r="G6" t="s">
        <v>93</v>
      </c>
      <c r="H6" t="s">
        <v>89</v>
      </c>
      <c r="I6" t="s">
        <v>32</v>
      </c>
      <c r="J6">
        <v>140000</v>
      </c>
      <c r="K6" s="1">
        <v>45789</v>
      </c>
      <c r="L6" t="s">
        <v>32</v>
      </c>
      <c r="M6" t="s">
        <v>32</v>
      </c>
      <c r="N6" t="s">
        <v>32</v>
      </c>
    </row>
    <row r="7" spans="1:14" x14ac:dyDescent="0.2">
      <c r="A7">
        <v>57248</v>
      </c>
      <c r="B7" t="str">
        <f>VLOOKUP(A7,b_crm_deal!A:M,2,0)</f>
        <v>Артек (дозаказ)</v>
      </c>
      <c r="C7" t="s">
        <v>142</v>
      </c>
      <c r="D7" t="s">
        <v>32</v>
      </c>
      <c r="E7" t="s">
        <v>32</v>
      </c>
      <c r="F7" t="s">
        <v>32</v>
      </c>
      <c r="G7" t="s">
        <v>89</v>
      </c>
      <c r="H7" t="s">
        <v>89</v>
      </c>
      <c r="I7" t="s">
        <v>32</v>
      </c>
      <c r="J7">
        <v>45000</v>
      </c>
      <c r="K7" s="1">
        <v>45787</v>
      </c>
      <c r="L7" t="s">
        <v>32</v>
      </c>
      <c r="M7" t="s">
        <v>32</v>
      </c>
      <c r="N7" t="s">
        <v>32</v>
      </c>
    </row>
    <row r="8" spans="1:14" x14ac:dyDescent="0.2">
      <c r="A8">
        <v>57247</v>
      </c>
      <c r="B8" t="str">
        <f>VLOOKUP(A8,b_crm_deal!A:M,2,0)</f>
        <v>Сибур, Анапа (двери)</v>
      </c>
      <c r="C8" t="s">
        <v>145</v>
      </c>
      <c r="D8" t="s">
        <v>32</v>
      </c>
      <c r="E8" t="s">
        <v>32</v>
      </c>
      <c r="F8" t="s">
        <v>32</v>
      </c>
      <c r="G8" t="s">
        <v>95</v>
      </c>
      <c r="H8" t="s">
        <v>95</v>
      </c>
      <c r="I8" t="s">
        <v>32</v>
      </c>
      <c r="J8">
        <v>1300000</v>
      </c>
      <c r="K8" s="1">
        <v>45792</v>
      </c>
      <c r="L8" t="s">
        <v>32</v>
      </c>
      <c r="M8" t="s">
        <v>32</v>
      </c>
      <c r="N8" t="s">
        <v>32</v>
      </c>
    </row>
    <row r="9" spans="1:14" x14ac:dyDescent="0.2">
      <c r="A9">
        <v>57246</v>
      </c>
      <c r="B9" t="str">
        <f>VLOOKUP(A9,b_crm_deal!A:M,2,0)</f>
        <v>Стандартные отгрузки "РесторанСервис"</v>
      </c>
      <c r="C9" t="s">
        <v>147</v>
      </c>
      <c r="D9" t="s">
        <v>32</v>
      </c>
      <c r="E9" t="s">
        <v>32</v>
      </c>
      <c r="F9" t="s">
        <v>32</v>
      </c>
      <c r="G9" t="s">
        <v>217</v>
      </c>
      <c r="H9" t="s">
        <v>32</v>
      </c>
      <c r="I9">
        <v>90000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</row>
    <row r="10" spans="1:14" x14ac:dyDescent="0.2">
      <c r="A10">
        <v>57245</v>
      </c>
      <c r="B10" t="str">
        <f>VLOOKUP(A10,b_crm_deal!A:M,2,0)</f>
        <v>HPL панели, г. Москва</v>
      </c>
      <c r="C10" t="s">
        <v>151</v>
      </c>
      <c r="D10" t="s">
        <v>32</v>
      </c>
      <c r="E10" t="s">
        <v>32</v>
      </c>
      <c r="F10" t="s">
        <v>32</v>
      </c>
      <c r="G10" t="s">
        <v>97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</row>
    <row r="11" spans="1:14" x14ac:dyDescent="0.2">
      <c r="A11">
        <v>57244</v>
      </c>
      <c r="B11" t="str">
        <f>VLOOKUP(A11,b_crm_deal!A:M,2,0)</f>
        <v>Бизнес-центр "Вперед"</v>
      </c>
      <c r="C11" t="s">
        <v>153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</row>
    <row r="12" spans="1:14" x14ac:dyDescent="0.2">
      <c r="A12">
        <v>57243</v>
      </c>
      <c r="B12" t="str">
        <f>VLOOKUP(A12,b_crm_deal!A:M,2,0)</f>
        <v>Входящий звонок (дилер)</v>
      </c>
      <c r="C12" t="s">
        <v>155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</row>
    <row r="13" spans="1:14" x14ac:dyDescent="0.2">
      <c r="A13">
        <v>57242</v>
      </c>
      <c r="B13" t="str">
        <f>VLOOKUP(A13,b_crm_deal!A:M,2,0)</f>
        <v>Частный дом, Казахстан</v>
      </c>
      <c r="C13" t="s">
        <v>158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</row>
    <row r="14" spans="1:14" x14ac:dyDescent="0.2">
      <c r="A14">
        <v>57241</v>
      </c>
      <c r="B14" t="str">
        <f>VLOOKUP(A14,b_crm_deal!A:M,2,0)</f>
        <v>РБС Групп (двери)</v>
      </c>
      <c r="C14" t="s">
        <v>160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>
        <v>500000</v>
      </c>
      <c r="K14" s="1">
        <v>45794</v>
      </c>
      <c r="L14" t="s">
        <v>32</v>
      </c>
      <c r="M14" t="s">
        <v>32</v>
      </c>
      <c r="N14">
        <v>500000</v>
      </c>
    </row>
    <row r="15" spans="1:14" x14ac:dyDescent="0.2">
      <c r="A15">
        <v>57240</v>
      </c>
      <c r="B15" t="str">
        <f>VLOOKUP(A15,b_crm_deal!A:M,2,0)</f>
        <v>Спа-центр "Коприно"</v>
      </c>
      <c r="C15" t="s">
        <v>164</v>
      </c>
      <c r="D15" t="s">
        <v>32</v>
      </c>
      <c r="E15" t="s">
        <v>32</v>
      </c>
      <c r="F15" t="s">
        <v>32</v>
      </c>
      <c r="G15" t="s">
        <v>99</v>
      </c>
      <c r="H15" t="s">
        <v>100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</row>
    <row r="16" spans="1:14" x14ac:dyDescent="0.2">
      <c r="A16">
        <v>57239</v>
      </c>
      <c r="B16" t="str">
        <f>VLOOKUP(A16,b_crm_deal!A:M,2,0)</f>
        <v>Стандартные отгрузки "Веста-Краснодар"</v>
      </c>
      <c r="C16" t="s">
        <v>166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>
        <v>50000</v>
      </c>
      <c r="K16" s="1">
        <v>45792</v>
      </c>
      <c r="L16" t="s">
        <v>32</v>
      </c>
      <c r="M16" t="s">
        <v>32</v>
      </c>
      <c r="N16">
        <v>40000</v>
      </c>
    </row>
    <row r="17" spans="1:14" x14ac:dyDescent="0.2">
      <c r="A17">
        <v>57238</v>
      </c>
      <c r="B17" t="str">
        <f>VLOOKUP(A17,b_crm_deal!A:M,2,0)</f>
        <v>Рентгенозащитные двери</v>
      </c>
      <c r="C17" t="s">
        <v>170</v>
      </c>
      <c r="D17" t="s">
        <v>32</v>
      </c>
      <c r="E17" t="s">
        <v>32</v>
      </c>
      <c r="F17" t="s">
        <v>32</v>
      </c>
      <c r="G17" t="s">
        <v>102</v>
      </c>
      <c r="H17" t="s">
        <v>103</v>
      </c>
      <c r="I17" t="s">
        <v>32</v>
      </c>
      <c r="J17">
        <v>150000</v>
      </c>
      <c r="K17" s="1">
        <v>45792</v>
      </c>
      <c r="L17" t="s">
        <v>32</v>
      </c>
      <c r="M17" t="s">
        <v>32</v>
      </c>
      <c r="N17" t="s">
        <v>32</v>
      </c>
    </row>
    <row r="18" spans="1:14" x14ac:dyDescent="0.2">
      <c r="A18">
        <v>57237</v>
      </c>
      <c r="B18" t="str">
        <f>VLOOKUP(A18,b_crm_deal!A:M,2,0)</f>
        <v>Откосы для КПП больниц</v>
      </c>
      <c r="C18" t="s">
        <v>173</v>
      </c>
      <c r="D18" t="s">
        <v>32</v>
      </c>
      <c r="E18" t="s">
        <v>32</v>
      </c>
      <c r="F18" t="s">
        <v>32</v>
      </c>
      <c r="G18" t="s">
        <v>105</v>
      </c>
      <c r="H18" t="s">
        <v>106</v>
      </c>
      <c r="I18" t="s">
        <v>32</v>
      </c>
      <c r="J18">
        <v>400000</v>
      </c>
      <c r="K18" s="1">
        <v>45788</v>
      </c>
      <c r="L18" t="s">
        <v>32</v>
      </c>
      <c r="M18" t="s">
        <v>32</v>
      </c>
      <c r="N18">
        <v>500000</v>
      </c>
    </row>
    <row r="19" spans="1:14" x14ac:dyDescent="0.2">
      <c r="A19">
        <v>57236</v>
      </c>
      <c r="B19" t="str">
        <f>VLOOKUP(A19,b_crm_deal!A:M,2,0)</f>
        <v>Центр детской онкологии, Беларусь</v>
      </c>
      <c r="C19" t="s">
        <v>176</v>
      </c>
      <c r="D19" t="s">
        <v>32</v>
      </c>
      <c r="E19" t="s">
        <v>32</v>
      </c>
      <c r="F19" t="s">
        <v>32</v>
      </c>
      <c r="G19" t="s">
        <v>108</v>
      </c>
      <c r="H19" t="s">
        <v>109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</row>
    <row r="20" spans="1:14" x14ac:dyDescent="0.2">
      <c r="A20">
        <v>57235</v>
      </c>
      <c r="B20" t="str">
        <f>VLOOKUP(A20,b_crm_deal!A:M,2,0)</f>
        <v>Мебель для библиотеки Орска</v>
      </c>
      <c r="C20" t="s">
        <v>179</v>
      </c>
      <c r="D20" t="s">
        <v>32</v>
      </c>
      <c r="E20" t="s">
        <v>32</v>
      </c>
      <c r="F20" t="s">
        <v>32</v>
      </c>
      <c r="G20" t="s">
        <v>219</v>
      </c>
      <c r="H20" t="s">
        <v>110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</row>
    <row r="21" spans="1:14" x14ac:dyDescent="0.2">
      <c r="A21">
        <v>57234</v>
      </c>
      <c r="B21" t="str">
        <f>VLOOKUP(A21,b_crm_deal!A:M,2,0)</f>
        <v>Аналитприбор, заказ 882</v>
      </c>
      <c r="C21" t="s">
        <v>182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>
        <v>2000000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</row>
    <row r="22" spans="1:14" x14ac:dyDescent="0.2">
      <c r="A22">
        <v>57233</v>
      </c>
      <c r="B22" t="str">
        <f>VLOOKUP(A22,b_crm_deal!A:M,2,0)</f>
        <v>ВДС, дозаказ</v>
      </c>
      <c r="C22" t="s">
        <v>185</v>
      </c>
      <c r="D22" t="s">
        <v>32</v>
      </c>
      <c r="E22" t="s">
        <v>32</v>
      </c>
      <c r="F22" t="s">
        <v>32</v>
      </c>
      <c r="G22" t="s">
        <v>112</v>
      </c>
      <c r="H22" t="s">
        <v>32</v>
      </c>
      <c r="I22" t="s">
        <v>32</v>
      </c>
      <c r="J22">
        <v>110000</v>
      </c>
      <c r="K22" s="1">
        <v>45745</v>
      </c>
      <c r="L22" t="s">
        <v>32</v>
      </c>
      <c r="M22" t="s">
        <v>32</v>
      </c>
      <c r="N22" t="s">
        <v>32</v>
      </c>
    </row>
    <row r="23" spans="1:14" x14ac:dyDescent="0.2">
      <c r="A23">
        <v>57232</v>
      </c>
      <c r="B23" t="str">
        <f>VLOOKUP(A23,b_crm_deal!A:M,2,0)</f>
        <v>Лабораторная мебель для Апатит</v>
      </c>
      <c r="C23" t="s">
        <v>188</v>
      </c>
      <c r="D23" t="s">
        <v>32</v>
      </c>
      <c r="E23" t="s">
        <v>32</v>
      </c>
      <c r="F23" t="s">
        <v>32</v>
      </c>
      <c r="G23" t="s">
        <v>114</v>
      </c>
      <c r="H23" t="s">
        <v>115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</row>
    <row r="24" spans="1:14" x14ac:dyDescent="0.2">
      <c r="A24">
        <v>57231</v>
      </c>
      <c r="B24" t="str">
        <f>VLOOKUP(A24,b_crm_deal!A:M,2,0)</f>
        <v>Двери/откосы для КПП (успешно)</v>
      </c>
      <c r="C24" t="s">
        <v>190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>
        <v>80000</v>
      </c>
      <c r="M24" s="1">
        <v>45734.416666666664</v>
      </c>
      <c r="N24">
        <v>70000</v>
      </c>
    </row>
    <row r="25" spans="1:14" x14ac:dyDescent="0.2">
      <c r="A25">
        <v>57230</v>
      </c>
      <c r="B25" t="str">
        <f>VLOOKUP(A25,b_crm_deal!A:M,2,0)</f>
        <v>Заявка (Офис СБЕР)</v>
      </c>
      <c r="C25" t="s">
        <v>192</v>
      </c>
      <c r="D25" t="s">
        <v>32</v>
      </c>
      <c r="E25" t="s">
        <v>32</v>
      </c>
      <c r="F25" t="s">
        <v>32</v>
      </c>
      <c r="G25" t="s">
        <v>116</v>
      </c>
      <c r="H25" t="s">
        <v>117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</row>
    <row r="26" spans="1:14" x14ac:dyDescent="0.2">
      <c r="A26">
        <v>57229</v>
      </c>
      <c r="B26" t="str">
        <f>VLOOKUP(A26,b_crm_deal!A:M,2,0)</f>
        <v>КПП для ГКБ Ерамишанцева (дозаказ)</v>
      </c>
      <c r="C26" t="s">
        <v>195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>
        <v>900000</v>
      </c>
    </row>
    <row r="27" spans="1:14" x14ac:dyDescent="0.2">
      <c r="A27">
        <v>57228</v>
      </c>
      <c r="B27" t="str">
        <f>VLOOKUP(A27,b_crm_deal!A:M,2,0)</f>
        <v>Офис СБЕР</v>
      </c>
      <c r="C27" t="s">
        <v>49</v>
      </c>
      <c r="D27" t="s">
        <v>32</v>
      </c>
      <c r="E27" t="s">
        <v>32</v>
      </c>
      <c r="F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</row>
    <row r="28" spans="1:14" x14ac:dyDescent="0.2">
      <c r="A28">
        <v>57227</v>
      </c>
      <c r="B28" t="str">
        <f>VLOOKUP(A28,b_crm_deal!A:M,2,0)</f>
        <v>Стандартные отгрузки "Премьер Групп"</v>
      </c>
      <c r="C28" t="s">
        <v>199</v>
      </c>
      <c r="D28" t="s">
        <v>32</v>
      </c>
      <c r="E28" t="s">
        <v>32</v>
      </c>
      <c r="F28" t="s">
        <v>32</v>
      </c>
      <c r="G28" t="s">
        <v>32</v>
      </c>
      <c r="H28" t="s">
        <v>118</v>
      </c>
      <c r="I28" t="s">
        <v>32</v>
      </c>
      <c r="J28">
        <v>80000</v>
      </c>
      <c r="K28" s="1">
        <v>45756</v>
      </c>
      <c r="L28" t="s">
        <v>32</v>
      </c>
      <c r="M28" t="s">
        <v>32</v>
      </c>
      <c r="N28" t="s">
        <v>32</v>
      </c>
    </row>
    <row r="29" spans="1:14" x14ac:dyDescent="0.2">
      <c r="A29">
        <v>57226</v>
      </c>
      <c r="B29" t="str">
        <f>VLOOKUP(A29,b_crm_deal!A:M,2,0)</f>
        <v>Мебель для вагона 4460</v>
      </c>
      <c r="C29" t="s">
        <v>201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</row>
    <row r="30" spans="1:14" x14ac:dyDescent="0.2">
      <c r="A30">
        <v>57225</v>
      </c>
      <c r="B30" t="str">
        <f>VLOOKUP(A30,b_crm_deal!A:M,2,0)</f>
        <v>Столешницы (ЛитТрансСервис)</v>
      </c>
      <c r="C30" t="s">
        <v>206</v>
      </c>
      <c r="D30" t="s">
        <v>32</v>
      </c>
      <c r="E30" t="s">
        <v>32</v>
      </c>
      <c r="F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</row>
    <row r="31" spans="1:14" x14ac:dyDescent="0.2">
      <c r="A31">
        <v>57224</v>
      </c>
      <c r="B31" t="str">
        <f>VLOOKUP(A31,b_crm_deal!A:M,2,0)</f>
        <v>Панели (Тверской экспресс)</v>
      </c>
      <c r="C31" t="s">
        <v>210</v>
      </c>
      <c r="D31" t="s">
        <v>32</v>
      </c>
      <c r="E31" t="s">
        <v>32</v>
      </c>
      <c r="F31" t="s">
        <v>32</v>
      </c>
      <c r="G31" t="s">
        <v>120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</row>
    <row r="32" spans="1:14" x14ac:dyDescent="0.2">
      <c r="A32">
        <v>57223</v>
      </c>
      <c r="B32" t="str">
        <f>VLOOKUP(A32,b_crm_deal!A:M,2,0)</f>
        <v>КСК МК (столешницы из наличия)</v>
      </c>
      <c r="C32" t="s">
        <v>212</v>
      </c>
      <c r="D32" t="s">
        <v>32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</row>
  </sheetData>
  <autoFilter ref="A1:IP32" xr:uid="{444B1BFB-5D69-4A00-BD12-8BDC6538093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F178-FE94-414B-AE7E-B477ABB45125}">
  <dimension ref="A1:AX18"/>
  <sheetViews>
    <sheetView topLeftCell="H1" workbookViewId="0">
      <selection activeCell="P1" sqref="P1"/>
    </sheetView>
  </sheetViews>
  <sheetFormatPr baseColWidth="10" defaultColWidth="8.83203125" defaultRowHeight="15" x14ac:dyDescent="0.2"/>
  <cols>
    <col min="1" max="224" width="14.33203125" customWidth="1"/>
  </cols>
  <sheetData>
    <row r="1" spans="1:50" x14ac:dyDescent="0.2">
      <c r="A1" t="s">
        <v>223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235</v>
      </c>
      <c r="N1" t="s">
        <v>236</v>
      </c>
      <c r="O1" t="s">
        <v>237</v>
      </c>
      <c r="P1" t="s">
        <v>238</v>
      </c>
      <c r="Q1" t="s">
        <v>239</v>
      </c>
      <c r="R1" t="s">
        <v>240</v>
      </c>
      <c r="S1" t="s">
        <v>241</v>
      </c>
      <c r="T1" t="s">
        <v>1283</v>
      </c>
      <c r="U1" t="s">
        <v>243</v>
      </c>
      <c r="V1" t="s">
        <v>1284</v>
      </c>
      <c r="W1" t="s">
        <v>245</v>
      </c>
      <c r="X1" t="s">
        <v>246</v>
      </c>
      <c r="Y1" t="s">
        <v>1285</v>
      </c>
      <c r="Z1" t="s">
        <v>248</v>
      </c>
      <c r="AA1" t="s">
        <v>249</v>
      </c>
      <c r="AB1" t="s">
        <v>250</v>
      </c>
      <c r="AC1" t="s">
        <v>251</v>
      </c>
      <c r="AD1" t="s">
        <v>252</v>
      </c>
      <c r="AE1" t="s">
        <v>253</v>
      </c>
      <c r="AF1" t="s">
        <v>254</v>
      </c>
      <c r="AG1" t="s">
        <v>255</v>
      </c>
      <c r="AH1" t="s">
        <v>256</v>
      </c>
      <c r="AI1" t="s">
        <v>257</v>
      </c>
      <c r="AJ1" t="s">
        <v>258</v>
      </c>
      <c r="AK1" t="s">
        <v>259</v>
      </c>
      <c r="AL1" t="s">
        <v>260</v>
      </c>
      <c r="AM1" t="s">
        <v>261</v>
      </c>
      <c r="AN1" t="s">
        <v>262</v>
      </c>
      <c r="AO1" t="s">
        <v>263</v>
      </c>
      <c r="AP1" t="s">
        <v>264</v>
      </c>
      <c r="AQ1" t="s">
        <v>265</v>
      </c>
      <c r="AR1" t="s">
        <v>266</v>
      </c>
      <c r="AS1" t="s">
        <v>267</v>
      </c>
      <c r="AT1" t="s">
        <v>268</v>
      </c>
      <c r="AU1" t="s">
        <v>269</v>
      </c>
      <c r="AV1" t="s">
        <v>270</v>
      </c>
      <c r="AW1" t="s">
        <v>271</v>
      </c>
      <c r="AX1" t="s">
        <v>272</v>
      </c>
    </row>
    <row r="2" spans="1:50" x14ac:dyDescent="0.2">
      <c r="A2" t="s">
        <v>1286</v>
      </c>
      <c r="B2" t="s">
        <v>1287</v>
      </c>
      <c r="C2" t="s">
        <v>85</v>
      </c>
      <c r="D2" t="s">
        <v>84</v>
      </c>
      <c r="E2" s="1">
        <v>46087.617361111108</v>
      </c>
      <c r="F2">
        <v>0</v>
      </c>
      <c r="G2">
        <v>0</v>
      </c>
      <c r="H2" t="s">
        <v>274</v>
      </c>
      <c r="I2" t="s">
        <v>275</v>
      </c>
      <c r="J2" t="s">
        <v>276</v>
      </c>
      <c r="K2" t="s">
        <v>302</v>
      </c>
      <c r="L2" t="s">
        <v>381</v>
      </c>
      <c r="M2" t="s">
        <v>382</v>
      </c>
      <c r="N2" t="s">
        <v>305</v>
      </c>
      <c r="O2" t="s">
        <v>306</v>
      </c>
      <c r="P2" t="s">
        <v>312</v>
      </c>
      <c r="Q2" t="s">
        <v>313</v>
      </c>
      <c r="R2" t="s">
        <v>314</v>
      </c>
      <c r="S2" t="s">
        <v>283</v>
      </c>
      <c r="T2" t="s">
        <v>284</v>
      </c>
      <c r="U2" t="s">
        <v>308</v>
      </c>
      <c r="V2" t="s">
        <v>315</v>
      </c>
      <c r="W2" t="s">
        <v>286</v>
      </c>
      <c r="X2" t="s">
        <v>287</v>
      </c>
      <c r="Y2" t="s">
        <v>318</v>
      </c>
      <c r="Z2" t="s">
        <v>319</v>
      </c>
      <c r="AA2">
        <v>2</v>
      </c>
      <c r="AB2" t="s">
        <v>1288</v>
      </c>
      <c r="AC2">
        <v>8.0649999999999995</v>
      </c>
      <c r="AD2">
        <v>70.536000000000001</v>
      </c>
      <c r="AE2" t="s">
        <v>291</v>
      </c>
      <c r="AF2" s="1" t="s">
        <v>32</v>
      </c>
      <c r="AG2" t="s">
        <v>309</v>
      </c>
      <c r="AH2">
        <v>0</v>
      </c>
      <c r="AI2" t="s">
        <v>1289</v>
      </c>
      <c r="AJ2" t="s">
        <v>1290</v>
      </c>
      <c r="AK2">
        <v>0</v>
      </c>
      <c r="AL2">
        <v>0</v>
      </c>
      <c r="AM2">
        <v>0</v>
      </c>
      <c r="AN2">
        <v>0</v>
      </c>
      <c r="AP2" t="s">
        <v>1291</v>
      </c>
      <c r="AQ2" t="s">
        <v>310</v>
      </c>
      <c r="AR2" t="s">
        <v>1292</v>
      </c>
      <c r="AT2" t="s">
        <v>295</v>
      </c>
      <c r="AU2" t="s">
        <v>1293</v>
      </c>
      <c r="AV2" t="s">
        <v>599</v>
      </c>
      <c r="AW2">
        <v>2025</v>
      </c>
      <c r="AX2" t="s">
        <v>296</v>
      </c>
    </row>
    <row r="3" spans="1:50" x14ac:dyDescent="0.2">
      <c r="A3" t="s">
        <v>1294</v>
      </c>
      <c r="B3" t="s">
        <v>1295</v>
      </c>
      <c r="C3" t="s">
        <v>87</v>
      </c>
      <c r="D3" t="s">
        <v>86</v>
      </c>
      <c r="E3" s="1">
        <v>46084.48333333333</v>
      </c>
      <c r="F3">
        <v>1</v>
      </c>
      <c r="G3">
        <v>0</v>
      </c>
      <c r="H3" t="s">
        <v>274</v>
      </c>
      <c r="I3" t="s">
        <v>275</v>
      </c>
      <c r="J3" t="s">
        <v>276</v>
      </c>
      <c r="K3" t="s">
        <v>322</v>
      </c>
      <c r="L3" t="s">
        <v>387</v>
      </c>
      <c r="M3" t="s">
        <v>388</v>
      </c>
      <c r="N3" t="s">
        <v>324</v>
      </c>
      <c r="O3" t="s">
        <v>325</v>
      </c>
      <c r="P3" t="s">
        <v>312</v>
      </c>
      <c r="Q3" t="s">
        <v>313</v>
      </c>
      <c r="R3" t="s">
        <v>295</v>
      </c>
      <c r="S3" t="s">
        <v>283</v>
      </c>
      <c r="T3" t="s">
        <v>284</v>
      </c>
      <c r="U3" t="s">
        <v>366</v>
      </c>
      <c r="V3" t="s">
        <v>315</v>
      </c>
      <c r="W3" t="s">
        <v>286</v>
      </c>
      <c r="X3" t="s">
        <v>287</v>
      </c>
      <c r="Y3" t="s">
        <v>288</v>
      </c>
      <c r="Z3" t="s">
        <v>289</v>
      </c>
      <c r="AA3">
        <v>6</v>
      </c>
      <c r="AB3" t="s">
        <v>1296</v>
      </c>
      <c r="AC3">
        <v>24.193999999999999</v>
      </c>
      <c r="AD3">
        <v>211.608</v>
      </c>
      <c r="AE3" t="s">
        <v>291</v>
      </c>
      <c r="AF3" s="1" t="s">
        <v>32</v>
      </c>
      <c r="AG3" t="s">
        <v>309</v>
      </c>
      <c r="AH3">
        <v>0</v>
      </c>
      <c r="AI3" t="s">
        <v>1297</v>
      </c>
      <c r="AJ3" t="s">
        <v>1298</v>
      </c>
      <c r="AK3">
        <v>0</v>
      </c>
      <c r="AL3">
        <v>0</v>
      </c>
      <c r="AM3">
        <v>0</v>
      </c>
      <c r="AN3">
        <v>0</v>
      </c>
      <c r="AP3" t="s">
        <v>1299</v>
      </c>
      <c r="AQ3" t="s">
        <v>310</v>
      </c>
      <c r="AR3" t="s">
        <v>1300</v>
      </c>
      <c r="AT3" t="s">
        <v>295</v>
      </c>
      <c r="AU3" t="s">
        <v>326</v>
      </c>
      <c r="AV3" t="s">
        <v>327</v>
      </c>
      <c r="AW3">
        <v>2025</v>
      </c>
      <c r="AX3" t="s">
        <v>297</v>
      </c>
    </row>
    <row r="4" spans="1:50" x14ac:dyDescent="0.2">
      <c r="A4" t="s">
        <v>1301</v>
      </c>
      <c r="B4" t="s">
        <v>1302</v>
      </c>
      <c r="C4" t="s">
        <v>91</v>
      </c>
      <c r="D4" t="s">
        <v>90</v>
      </c>
      <c r="E4" s="1">
        <v>46087.625</v>
      </c>
      <c r="F4">
        <v>1</v>
      </c>
      <c r="G4">
        <v>0</v>
      </c>
      <c r="H4" t="s">
        <v>274</v>
      </c>
      <c r="I4" t="s">
        <v>275</v>
      </c>
      <c r="J4" t="s">
        <v>276</v>
      </c>
      <c r="K4" t="s">
        <v>322</v>
      </c>
      <c r="L4" t="s">
        <v>381</v>
      </c>
      <c r="M4" t="s">
        <v>382</v>
      </c>
      <c r="N4" t="s">
        <v>305</v>
      </c>
      <c r="O4" t="s">
        <v>306</v>
      </c>
      <c r="P4" t="s">
        <v>312</v>
      </c>
      <c r="Q4" t="s">
        <v>313</v>
      </c>
      <c r="R4" t="s">
        <v>383</v>
      </c>
      <c r="S4" t="s">
        <v>283</v>
      </c>
      <c r="T4" t="s">
        <v>284</v>
      </c>
      <c r="U4" t="s">
        <v>366</v>
      </c>
      <c r="V4" t="s">
        <v>315</v>
      </c>
      <c r="W4" t="s">
        <v>286</v>
      </c>
      <c r="X4" t="s">
        <v>287</v>
      </c>
      <c r="Y4" t="s">
        <v>318</v>
      </c>
      <c r="Z4" t="s">
        <v>319</v>
      </c>
      <c r="AA4">
        <v>6</v>
      </c>
      <c r="AB4" t="s">
        <v>1303</v>
      </c>
      <c r="AC4">
        <v>24.193999999999999</v>
      </c>
      <c r="AD4">
        <v>211.608</v>
      </c>
      <c r="AE4" t="s">
        <v>291</v>
      </c>
      <c r="AF4" s="1" t="s">
        <v>32</v>
      </c>
      <c r="AG4" t="s">
        <v>309</v>
      </c>
      <c r="AH4">
        <v>0</v>
      </c>
      <c r="AI4" t="s">
        <v>1304</v>
      </c>
      <c r="AJ4" t="s">
        <v>1305</v>
      </c>
      <c r="AK4">
        <v>0</v>
      </c>
      <c r="AL4">
        <v>0</v>
      </c>
      <c r="AM4">
        <v>0</v>
      </c>
      <c r="AN4">
        <v>0</v>
      </c>
      <c r="AP4" t="s">
        <v>1291</v>
      </c>
      <c r="AQ4" t="s">
        <v>310</v>
      </c>
      <c r="AR4" t="s">
        <v>1306</v>
      </c>
      <c r="AT4" t="s">
        <v>295</v>
      </c>
      <c r="AU4" t="s">
        <v>1293</v>
      </c>
      <c r="AV4" t="s">
        <v>599</v>
      </c>
      <c r="AW4">
        <v>2026</v>
      </c>
      <c r="AX4" t="s">
        <v>301</v>
      </c>
    </row>
    <row r="5" spans="1:50" x14ac:dyDescent="0.2">
      <c r="A5" t="s">
        <v>613</v>
      </c>
      <c r="B5" t="s">
        <v>614</v>
      </c>
      <c r="C5" t="s">
        <v>93</v>
      </c>
      <c r="D5" t="s">
        <v>92</v>
      </c>
      <c r="E5" s="1">
        <v>46084.511805555558</v>
      </c>
      <c r="F5">
        <v>1</v>
      </c>
      <c r="G5">
        <v>0</v>
      </c>
      <c r="H5" t="s">
        <v>274</v>
      </c>
      <c r="I5" t="s">
        <v>275</v>
      </c>
      <c r="J5" t="s">
        <v>276</v>
      </c>
      <c r="K5" t="s">
        <v>322</v>
      </c>
      <c r="L5" t="s">
        <v>367</v>
      </c>
      <c r="M5" t="s">
        <v>368</v>
      </c>
      <c r="N5" t="s">
        <v>369</v>
      </c>
      <c r="O5" t="s">
        <v>370</v>
      </c>
      <c r="P5" t="s">
        <v>371</v>
      </c>
      <c r="Q5" t="s">
        <v>372</v>
      </c>
      <c r="R5" t="s">
        <v>604</v>
      </c>
      <c r="S5" t="s">
        <v>283</v>
      </c>
      <c r="T5" t="s">
        <v>284</v>
      </c>
      <c r="U5" t="s">
        <v>366</v>
      </c>
      <c r="V5" t="s">
        <v>618</v>
      </c>
      <c r="W5" t="s">
        <v>286</v>
      </c>
      <c r="X5" t="s">
        <v>287</v>
      </c>
      <c r="Y5" t="s">
        <v>318</v>
      </c>
      <c r="Z5" t="s">
        <v>319</v>
      </c>
      <c r="AA5">
        <v>1</v>
      </c>
      <c r="AB5" t="s">
        <v>615</v>
      </c>
      <c r="AC5">
        <v>4.032</v>
      </c>
      <c r="AD5">
        <v>23.512</v>
      </c>
      <c r="AE5" t="s">
        <v>291</v>
      </c>
      <c r="AF5" t="s">
        <v>32</v>
      </c>
      <c r="AG5" t="s">
        <v>309</v>
      </c>
      <c r="AH5">
        <v>0</v>
      </c>
      <c r="AI5" t="s">
        <v>619</v>
      </c>
      <c r="AJ5" t="s">
        <v>619</v>
      </c>
      <c r="AK5">
        <v>0</v>
      </c>
      <c r="AL5">
        <v>0</v>
      </c>
      <c r="AM5">
        <v>0</v>
      </c>
      <c r="AN5">
        <v>0</v>
      </c>
      <c r="AP5" t="s">
        <v>615</v>
      </c>
      <c r="AQ5" t="s">
        <v>310</v>
      </c>
      <c r="AR5" t="s">
        <v>616</v>
      </c>
      <c r="AT5" t="s">
        <v>295</v>
      </c>
      <c r="AU5" t="s">
        <v>620</v>
      </c>
      <c r="AV5" t="s">
        <v>584</v>
      </c>
      <c r="AW5">
        <v>2026</v>
      </c>
      <c r="AX5" t="s">
        <v>311</v>
      </c>
    </row>
    <row r="6" spans="1:50" x14ac:dyDescent="0.2">
      <c r="A6" t="s">
        <v>605</v>
      </c>
      <c r="B6" t="s">
        <v>606</v>
      </c>
      <c r="C6" t="s">
        <v>89</v>
      </c>
      <c r="D6" t="s">
        <v>88</v>
      </c>
      <c r="E6" s="1">
        <v>46083.661111111112</v>
      </c>
      <c r="F6">
        <v>1</v>
      </c>
      <c r="G6">
        <v>0</v>
      </c>
      <c r="H6" t="s">
        <v>274</v>
      </c>
      <c r="I6" t="s">
        <v>275</v>
      </c>
      <c r="J6" t="s">
        <v>276</v>
      </c>
      <c r="K6" t="s">
        <v>322</v>
      </c>
      <c r="L6" t="s">
        <v>387</v>
      </c>
      <c r="M6" t="s">
        <v>388</v>
      </c>
      <c r="N6" t="s">
        <v>369</v>
      </c>
      <c r="O6" t="s">
        <v>370</v>
      </c>
      <c r="P6" t="s">
        <v>371</v>
      </c>
      <c r="Q6" t="s">
        <v>372</v>
      </c>
      <c r="R6" t="s">
        <v>607</v>
      </c>
      <c r="S6" t="s">
        <v>583</v>
      </c>
      <c r="T6" t="s">
        <v>284</v>
      </c>
      <c r="U6" t="s">
        <v>366</v>
      </c>
      <c r="V6" t="s">
        <v>601</v>
      </c>
      <c r="W6" t="s">
        <v>286</v>
      </c>
      <c r="X6" t="s">
        <v>287</v>
      </c>
      <c r="Y6" t="s">
        <v>318</v>
      </c>
      <c r="Z6" t="s">
        <v>319</v>
      </c>
      <c r="AA6">
        <v>60</v>
      </c>
      <c r="AB6" t="s">
        <v>608</v>
      </c>
      <c r="AC6">
        <v>241.935</v>
      </c>
      <c r="AD6">
        <v>282.12</v>
      </c>
      <c r="AE6" t="s">
        <v>291</v>
      </c>
      <c r="AF6" s="1" t="s">
        <v>32</v>
      </c>
      <c r="AG6" t="s">
        <v>309</v>
      </c>
      <c r="AH6">
        <v>0</v>
      </c>
      <c r="AI6" t="s">
        <v>609</v>
      </c>
      <c r="AJ6" t="s">
        <v>610</v>
      </c>
      <c r="AK6">
        <v>0</v>
      </c>
      <c r="AL6">
        <v>0</v>
      </c>
      <c r="AM6">
        <v>0</v>
      </c>
      <c r="AN6">
        <v>0</v>
      </c>
      <c r="AP6" t="s">
        <v>611</v>
      </c>
      <c r="AQ6" t="s">
        <v>310</v>
      </c>
      <c r="AR6" t="s">
        <v>612</v>
      </c>
      <c r="AT6" t="s">
        <v>295</v>
      </c>
      <c r="AU6" t="s">
        <v>602</v>
      </c>
      <c r="AV6" t="s">
        <v>603</v>
      </c>
      <c r="AW6">
        <v>2026</v>
      </c>
      <c r="AX6" t="s">
        <v>316</v>
      </c>
    </row>
    <row r="7" spans="1:50" x14ac:dyDescent="0.2">
      <c r="A7" t="s">
        <v>1307</v>
      </c>
      <c r="B7" t="s">
        <v>1308</v>
      </c>
      <c r="C7" t="s">
        <v>95</v>
      </c>
      <c r="D7" t="s">
        <v>94</v>
      </c>
      <c r="E7" s="1">
        <v>46093.713888888888</v>
      </c>
      <c r="F7">
        <v>1</v>
      </c>
      <c r="G7">
        <v>0</v>
      </c>
      <c r="H7" t="s">
        <v>274</v>
      </c>
      <c r="I7" t="s">
        <v>275</v>
      </c>
      <c r="J7" t="s">
        <v>276</v>
      </c>
      <c r="K7" t="s">
        <v>322</v>
      </c>
      <c r="L7" t="s">
        <v>278</v>
      </c>
      <c r="M7" t="s">
        <v>279</v>
      </c>
      <c r="N7" t="s">
        <v>278</v>
      </c>
      <c r="O7" t="s">
        <v>279</v>
      </c>
      <c r="P7" t="s">
        <v>458</v>
      </c>
      <c r="Q7" t="s">
        <v>459</v>
      </c>
      <c r="R7" t="s">
        <v>460</v>
      </c>
      <c r="S7" t="s">
        <v>363</v>
      </c>
      <c r="T7" t="s">
        <v>284</v>
      </c>
      <c r="U7" t="s">
        <v>366</v>
      </c>
      <c r="V7" t="s">
        <v>461</v>
      </c>
      <c r="W7" t="s">
        <v>286</v>
      </c>
      <c r="X7" t="s">
        <v>287</v>
      </c>
      <c r="Y7" t="s">
        <v>318</v>
      </c>
      <c r="Z7" t="s">
        <v>319</v>
      </c>
      <c r="AA7">
        <v>4</v>
      </c>
      <c r="AB7" t="s">
        <v>1309</v>
      </c>
      <c r="AC7">
        <v>19.138999999999999</v>
      </c>
      <c r="AD7">
        <v>391.50799999999998</v>
      </c>
      <c r="AE7" t="s">
        <v>291</v>
      </c>
      <c r="AF7" s="1" t="s">
        <v>32</v>
      </c>
      <c r="AG7" t="s">
        <v>309</v>
      </c>
      <c r="AH7">
        <v>0</v>
      </c>
      <c r="AI7" t="s">
        <v>1310</v>
      </c>
      <c r="AJ7" t="s">
        <v>1311</v>
      </c>
      <c r="AK7">
        <v>0</v>
      </c>
      <c r="AL7">
        <v>0</v>
      </c>
      <c r="AM7">
        <v>0</v>
      </c>
      <c r="AN7">
        <v>0</v>
      </c>
      <c r="AO7" t="s">
        <v>465</v>
      </c>
      <c r="AP7" t="s">
        <v>1312</v>
      </c>
      <c r="AQ7" t="s">
        <v>202</v>
      </c>
      <c r="AR7" t="s">
        <v>1313</v>
      </c>
      <c r="AT7" t="s">
        <v>295</v>
      </c>
      <c r="AU7" t="s">
        <v>468</v>
      </c>
      <c r="AV7" t="s">
        <v>469</v>
      </c>
      <c r="AW7">
        <v>2025</v>
      </c>
      <c r="AX7" t="s">
        <v>320</v>
      </c>
    </row>
    <row r="8" spans="1:50" x14ac:dyDescent="0.2">
      <c r="A8" t="s">
        <v>1314</v>
      </c>
      <c r="B8" t="s">
        <v>1315</v>
      </c>
      <c r="C8" t="s">
        <v>217</v>
      </c>
      <c r="D8" t="s">
        <v>216</v>
      </c>
      <c r="E8" s="1">
        <v>46099.740277777775</v>
      </c>
      <c r="F8">
        <v>0</v>
      </c>
      <c r="G8">
        <v>0</v>
      </c>
      <c r="H8" t="s">
        <v>274</v>
      </c>
      <c r="I8" t="s">
        <v>275</v>
      </c>
      <c r="J8" t="s">
        <v>276</v>
      </c>
      <c r="K8" t="s">
        <v>302</v>
      </c>
      <c r="L8" t="s">
        <v>278</v>
      </c>
      <c r="M8" t="s">
        <v>279</v>
      </c>
      <c r="N8" t="s">
        <v>456</v>
      </c>
      <c r="O8" t="s">
        <v>457</v>
      </c>
      <c r="P8" t="s">
        <v>458</v>
      </c>
      <c r="Q8" t="s">
        <v>459</v>
      </c>
      <c r="R8" t="s">
        <v>460</v>
      </c>
      <c r="S8" t="s">
        <v>363</v>
      </c>
      <c r="T8" t="s">
        <v>284</v>
      </c>
      <c r="V8" t="s">
        <v>461</v>
      </c>
      <c r="W8" t="s">
        <v>286</v>
      </c>
      <c r="X8" t="s">
        <v>287</v>
      </c>
      <c r="Y8" t="s">
        <v>318</v>
      </c>
      <c r="Z8" t="s">
        <v>319</v>
      </c>
      <c r="AA8">
        <v>8</v>
      </c>
      <c r="AB8" t="s">
        <v>462</v>
      </c>
      <c r="AC8">
        <v>38.277999999999999</v>
      </c>
      <c r="AD8">
        <v>783.01599999999996</v>
      </c>
      <c r="AE8" t="s">
        <v>291</v>
      </c>
      <c r="AF8" s="1" t="s">
        <v>32</v>
      </c>
      <c r="AG8" t="s">
        <v>309</v>
      </c>
      <c r="AH8">
        <v>0</v>
      </c>
      <c r="AI8" t="s">
        <v>463</v>
      </c>
      <c r="AJ8" t="s">
        <v>464</v>
      </c>
      <c r="AK8">
        <v>0</v>
      </c>
      <c r="AL8">
        <v>0</v>
      </c>
      <c r="AM8">
        <v>0</v>
      </c>
      <c r="AN8">
        <v>0</v>
      </c>
      <c r="AO8" t="s">
        <v>465</v>
      </c>
      <c r="AP8" t="s">
        <v>466</v>
      </c>
      <c r="AQ8" t="s">
        <v>202</v>
      </c>
      <c r="AR8" t="s">
        <v>1316</v>
      </c>
      <c r="AT8" t="s">
        <v>295</v>
      </c>
      <c r="AU8" t="s">
        <v>468</v>
      </c>
      <c r="AV8" t="s">
        <v>469</v>
      </c>
      <c r="AW8">
        <v>2025</v>
      </c>
      <c r="AX8" t="s">
        <v>321</v>
      </c>
    </row>
    <row r="9" spans="1:50" x14ac:dyDescent="0.2">
      <c r="A9" t="s">
        <v>1317</v>
      </c>
      <c r="B9" t="s">
        <v>1318</v>
      </c>
      <c r="C9" t="s">
        <v>97</v>
      </c>
      <c r="D9" t="s">
        <v>96</v>
      </c>
      <c r="E9" s="1">
        <v>46096.742361111108</v>
      </c>
      <c r="F9">
        <v>0</v>
      </c>
      <c r="G9">
        <v>0</v>
      </c>
      <c r="H9" t="s">
        <v>274</v>
      </c>
      <c r="I9" t="s">
        <v>275</v>
      </c>
      <c r="J9" t="s">
        <v>276</v>
      </c>
      <c r="K9" t="s">
        <v>302</v>
      </c>
      <c r="L9" t="s">
        <v>278</v>
      </c>
      <c r="M9" t="s">
        <v>279</v>
      </c>
      <c r="N9" t="s">
        <v>456</v>
      </c>
      <c r="O9" t="s">
        <v>457</v>
      </c>
      <c r="P9" t="s">
        <v>470</v>
      </c>
      <c r="Q9" t="s">
        <v>471</v>
      </c>
      <c r="R9" t="s">
        <v>472</v>
      </c>
      <c r="S9" t="s">
        <v>473</v>
      </c>
      <c r="T9" t="s">
        <v>300</v>
      </c>
      <c r="V9" t="s">
        <v>474</v>
      </c>
      <c r="W9" t="s">
        <v>286</v>
      </c>
      <c r="X9" t="s">
        <v>287</v>
      </c>
      <c r="Y9" t="s">
        <v>318</v>
      </c>
      <c r="Z9" t="s">
        <v>319</v>
      </c>
      <c r="AA9">
        <v>3</v>
      </c>
      <c r="AB9" t="s">
        <v>1319</v>
      </c>
      <c r="AC9">
        <v>14.353999999999999</v>
      </c>
      <c r="AD9">
        <v>62.921999999999997</v>
      </c>
      <c r="AE9" t="s">
        <v>291</v>
      </c>
      <c r="AF9" s="1" t="s">
        <v>32</v>
      </c>
      <c r="AG9" t="s">
        <v>309</v>
      </c>
      <c r="AH9">
        <v>0</v>
      </c>
      <c r="AI9" t="s">
        <v>477</v>
      </c>
      <c r="AJ9" t="s">
        <v>1320</v>
      </c>
      <c r="AK9">
        <v>0</v>
      </c>
      <c r="AL9">
        <v>0</v>
      </c>
      <c r="AM9">
        <v>0</v>
      </c>
      <c r="AN9">
        <v>0</v>
      </c>
      <c r="AP9" t="s">
        <v>1321</v>
      </c>
      <c r="AQ9" t="s">
        <v>202</v>
      </c>
      <c r="AR9" t="s">
        <v>1322</v>
      </c>
      <c r="AT9" t="s">
        <v>295</v>
      </c>
      <c r="AU9" t="s">
        <v>475</v>
      </c>
      <c r="AV9" t="s">
        <v>476</v>
      </c>
      <c r="AW9">
        <v>2025</v>
      </c>
      <c r="AX9" t="s">
        <v>328</v>
      </c>
    </row>
    <row r="10" spans="1:50" x14ac:dyDescent="0.2">
      <c r="A10" t="s">
        <v>1323</v>
      </c>
      <c r="B10" t="s">
        <v>1324</v>
      </c>
      <c r="C10" t="s">
        <v>99</v>
      </c>
      <c r="D10" t="s">
        <v>98</v>
      </c>
      <c r="E10" s="1">
        <v>46096.490972222222</v>
      </c>
      <c r="F10">
        <v>0</v>
      </c>
      <c r="G10">
        <v>0</v>
      </c>
      <c r="H10" t="s">
        <v>274</v>
      </c>
      <c r="I10" t="s">
        <v>275</v>
      </c>
      <c r="J10" t="s">
        <v>276</v>
      </c>
      <c r="K10" t="s">
        <v>302</v>
      </c>
      <c r="L10" t="s">
        <v>381</v>
      </c>
      <c r="M10" t="s">
        <v>382</v>
      </c>
      <c r="N10" t="s">
        <v>305</v>
      </c>
      <c r="O10" t="s">
        <v>306</v>
      </c>
      <c r="P10" t="s">
        <v>389</v>
      </c>
      <c r="Q10" t="s">
        <v>390</v>
      </c>
      <c r="R10" t="s">
        <v>405</v>
      </c>
      <c r="S10" t="s">
        <v>404</v>
      </c>
      <c r="T10" t="s">
        <v>284</v>
      </c>
      <c r="V10" t="s">
        <v>384</v>
      </c>
      <c r="W10" t="s">
        <v>286</v>
      </c>
      <c r="X10" t="s">
        <v>287</v>
      </c>
      <c r="Y10" t="s">
        <v>318</v>
      </c>
      <c r="Z10" t="s">
        <v>319</v>
      </c>
      <c r="AA10">
        <v>600</v>
      </c>
      <c r="AB10" t="s">
        <v>1325</v>
      </c>
      <c r="AC10">
        <v>2419.355</v>
      </c>
      <c r="AD10">
        <v>1763.4</v>
      </c>
      <c r="AE10" t="s">
        <v>291</v>
      </c>
      <c r="AF10" s="1" t="s">
        <v>32</v>
      </c>
      <c r="AG10" t="s">
        <v>309</v>
      </c>
      <c r="AH10">
        <v>0</v>
      </c>
      <c r="AI10" t="s">
        <v>480</v>
      </c>
      <c r="AJ10" t="s">
        <v>1326</v>
      </c>
      <c r="AK10">
        <v>0</v>
      </c>
      <c r="AL10">
        <v>0</v>
      </c>
      <c r="AM10">
        <v>0</v>
      </c>
      <c r="AN10">
        <v>0</v>
      </c>
      <c r="AP10" t="s">
        <v>1327</v>
      </c>
      <c r="AQ10" t="s">
        <v>350</v>
      </c>
      <c r="AR10" t="s">
        <v>1328</v>
      </c>
      <c r="AT10" t="s">
        <v>295</v>
      </c>
      <c r="AU10" t="s">
        <v>482</v>
      </c>
      <c r="AV10" t="s">
        <v>483</v>
      </c>
      <c r="AW10">
        <v>2025</v>
      </c>
      <c r="AX10" t="s">
        <v>329</v>
      </c>
    </row>
    <row r="11" spans="1:50" x14ac:dyDescent="0.2">
      <c r="A11" t="s">
        <v>1329</v>
      </c>
      <c r="B11" t="s">
        <v>1330</v>
      </c>
      <c r="C11" t="s">
        <v>102</v>
      </c>
      <c r="D11" t="s">
        <v>101</v>
      </c>
      <c r="E11" s="1">
        <v>46092.604166666664</v>
      </c>
      <c r="F11">
        <v>1</v>
      </c>
      <c r="G11">
        <v>0</v>
      </c>
      <c r="H11" t="s">
        <v>274</v>
      </c>
      <c r="I11" t="s">
        <v>275</v>
      </c>
      <c r="J11" t="s">
        <v>276</v>
      </c>
      <c r="K11" t="s">
        <v>322</v>
      </c>
      <c r="L11" t="s">
        <v>345</v>
      </c>
      <c r="M11" t="s">
        <v>346</v>
      </c>
      <c r="N11" t="s">
        <v>353</v>
      </c>
      <c r="O11" t="s">
        <v>354</v>
      </c>
      <c r="P11" t="s">
        <v>392</v>
      </c>
      <c r="Q11" t="s">
        <v>393</v>
      </c>
      <c r="R11" t="s">
        <v>394</v>
      </c>
      <c r="S11" t="s">
        <v>395</v>
      </c>
      <c r="T11" t="s">
        <v>300</v>
      </c>
      <c r="U11" t="s">
        <v>366</v>
      </c>
      <c r="V11" t="s">
        <v>413</v>
      </c>
      <c r="W11" t="s">
        <v>286</v>
      </c>
      <c r="X11" t="s">
        <v>287</v>
      </c>
      <c r="Y11" t="s">
        <v>318</v>
      </c>
      <c r="Z11" t="s">
        <v>319</v>
      </c>
      <c r="AA11">
        <v>12</v>
      </c>
      <c r="AB11" t="s">
        <v>396</v>
      </c>
      <c r="AC11">
        <v>48.387</v>
      </c>
      <c r="AD11">
        <v>35.268000000000001</v>
      </c>
      <c r="AE11" t="s">
        <v>291</v>
      </c>
      <c r="AF11" s="1" t="s">
        <v>32</v>
      </c>
      <c r="AG11" t="s">
        <v>309</v>
      </c>
      <c r="AH11">
        <v>0</v>
      </c>
      <c r="AI11">
        <v>958.46</v>
      </c>
      <c r="AJ11" t="s">
        <v>414</v>
      </c>
      <c r="AK11">
        <v>0</v>
      </c>
      <c r="AL11">
        <v>0</v>
      </c>
      <c r="AM11">
        <v>0</v>
      </c>
      <c r="AN11">
        <v>0</v>
      </c>
      <c r="AO11" t="s">
        <v>293</v>
      </c>
      <c r="AP11" t="s">
        <v>391</v>
      </c>
      <c r="AQ11" t="s">
        <v>350</v>
      </c>
      <c r="AR11" t="s">
        <v>1331</v>
      </c>
      <c r="AT11" t="s">
        <v>295</v>
      </c>
      <c r="AU11" t="s">
        <v>385</v>
      </c>
      <c r="AV11" t="s">
        <v>386</v>
      </c>
      <c r="AW11">
        <v>2026</v>
      </c>
      <c r="AX11" t="s">
        <v>330</v>
      </c>
    </row>
    <row r="12" spans="1:50" x14ac:dyDescent="0.2">
      <c r="A12" t="s">
        <v>1332</v>
      </c>
      <c r="B12" t="s">
        <v>1333</v>
      </c>
      <c r="C12" t="s">
        <v>105</v>
      </c>
      <c r="D12" t="s">
        <v>104</v>
      </c>
      <c r="E12" s="1">
        <v>46080</v>
      </c>
      <c r="F12">
        <v>0</v>
      </c>
      <c r="G12">
        <v>0</v>
      </c>
      <c r="H12" t="s">
        <v>274</v>
      </c>
      <c r="I12" t="s">
        <v>275</v>
      </c>
      <c r="J12" t="s">
        <v>276</v>
      </c>
      <c r="K12" t="s">
        <v>302</v>
      </c>
      <c r="L12" t="s">
        <v>381</v>
      </c>
      <c r="M12" t="s">
        <v>382</v>
      </c>
      <c r="N12" t="s">
        <v>305</v>
      </c>
      <c r="O12" t="s">
        <v>306</v>
      </c>
      <c r="P12" t="s">
        <v>399</v>
      </c>
      <c r="Q12" s="4" t="s">
        <v>400</v>
      </c>
      <c r="R12" t="s">
        <v>405</v>
      </c>
      <c r="S12" t="s">
        <v>402</v>
      </c>
      <c r="T12" t="s">
        <v>284</v>
      </c>
      <c r="V12" t="s">
        <v>384</v>
      </c>
      <c r="W12" t="s">
        <v>286</v>
      </c>
      <c r="X12" t="s">
        <v>287</v>
      </c>
      <c r="Y12" t="s">
        <v>318</v>
      </c>
      <c r="Z12" t="s">
        <v>319</v>
      </c>
      <c r="AA12">
        <v>600</v>
      </c>
      <c r="AB12" t="s">
        <v>1325</v>
      </c>
      <c r="AC12">
        <v>2419.355</v>
      </c>
      <c r="AD12">
        <v>1763.4</v>
      </c>
      <c r="AE12" t="s">
        <v>291</v>
      </c>
      <c r="AF12" s="1" t="s">
        <v>32</v>
      </c>
      <c r="AG12" t="s">
        <v>309</v>
      </c>
      <c r="AH12">
        <v>0</v>
      </c>
      <c r="AI12" t="s">
        <v>480</v>
      </c>
      <c r="AJ12" t="s">
        <v>1326</v>
      </c>
      <c r="AK12">
        <v>0</v>
      </c>
      <c r="AL12">
        <v>0</v>
      </c>
      <c r="AM12">
        <v>0</v>
      </c>
      <c r="AN12">
        <v>0</v>
      </c>
      <c r="AP12" t="s">
        <v>1327</v>
      </c>
      <c r="AQ12" t="s">
        <v>350</v>
      </c>
      <c r="AR12" t="s">
        <v>1334</v>
      </c>
      <c r="AT12" t="s">
        <v>295</v>
      </c>
      <c r="AU12" t="s">
        <v>482</v>
      </c>
      <c r="AV12" t="s">
        <v>483</v>
      </c>
      <c r="AW12">
        <v>2025</v>
      </c>
      <c r="AX12" t="s">
        <v>328</v>
      </c>
    </row>
    <row r="13" spans="1:50" x14ac:dyDescent="0.2">
      <c r="A13" t="s">
        <v>1335</v>
      </c>
      <c r="B13" t="s">
        <v>1336</v>
      </c>
      <c r="C13" t="s">
        <v>108</v>
      </c>
      <c r="D13" t="s">
        <v>107</v>
      </c>
      <c r="E13" s="1">
        <v>46069.709722222222</v>
      </c>
      <c r="F13">
        <v>1</v>
      </c>
      <c r="G13">
        <v>0</v>
      </c>
      <c r="H13" t="s">
        <v>274</v>
      </c>
      <c r="I13" t="s">
        <v>275</v>
      </c>
      <c r="J13" t="s">
        <v>276</v>
      </c>
      <c r="K13" t="s">
        <v>322</v>
      </c>
      <c r="L13" t="s">
        <v>278</v>
      </c>
      <c r="M13" t="s">
        <v>279</v>
      </c>
      <c r="N13" t="s">
        <v>278</v>
      </c>
      <c r="O13" t="s">
        <v>279</v>
      </c>
      <c r="P13" t="s">
        <v>537</v>
      </c>
      <c r="Q13" t="s">
        <v>538</v>
      </c>
      <c r="R13" t="s">
        <v>539</v>
      </c>
      <c r="S13" t="s">
        <v>558</v>
      </c>
      <c r="T13" t="s">
        <v>300</v>
      </c>
      <c r="U13" t="s">
        <v>366</v>
      </c>
      <c r="V13" t="s">
        <v>561</v>
      </c>
      <c r="W13" t="s">
        <v>286</v>
      </c>
      <c r="X13" t="s">
        <v>287</v>
      </c>
      <c r="Y13" t="s">
        <v>318</v>
      </c>
      <c r="Z13" t="s">
        <v>319</v>
      </c>
      <c r="AA13">
        <v>1</v>
      </c>
      <c r="AB13" t="s">
        <v>1337</v>
      </c>
      <c r="AC13">
        <v>4.032</v>
      </c>
      <c r="AD13">
        <v>58.78</v>
      </c>
      <c r="AE13" t="s">
        <v>291</v>
      </c>
      <c r="AF13" s="1" t="s">
        <v>32</v>
      </c>
      <c r="AG13" t="s">
        <v>309</v>
      </c>
      <c r="AH13">
        <v>0</v>
      </c>
      <c r="AI13" t="s">
        <v>562</v>
      </c>
      <c r="AJ13" t="s">
        <v>562</v>
      </c>
      <c r="AK13">
        <v>0</v>
      </c>
      <c r="AL13">
        <v>0</v>
      </c>
      <c r="AM13">
        <v>0</v>
      </c>
      <c r="AN13">
        <v>0</v>
      </c>
      <c r="AP13" t="s">
        <v>1337</v>
      </c>
      <c r="AQ13" t="s">
        <v>543</v>
      </c>
      <c r="AR13" t="s">
        <v>1338</v>
      </c>
      <c r="AT13" t="s">
        <v>295</v>
      </c>
      <c r="AU13" t="s">
        <v>1339</v>
      </c>
      <c r="AV13" t="s">
        <v>617</v>
      </c>
      <c r="AW13">
        <v>2025</v>
      </c>
      <c r="AX13" t="s">
        <v>328</v>
      </c>
    </row>
    <row r="14" spans="1:50" x14ac:dyDescent="0.2">
      <c r="A14" t="s">
        <v>1340</v>
      </c>
      <c r="B14" t="s">
        <v>1341</v>
      </c>
      <c r="C14" t="s">
        <v>219</v>
      </c>
      <c r="D14" t="s">
        <v>218</v>
      </c>
      <c r="E14" s="1">
        <v>46097.603472222225</v>
      </c>
      <c r="F14">
        <v>1</v>
      </c>
      <c r="G14">
        <v>0</v>
      </c>
      <c r="H14" t="s">
        <v>274</v>
      </c>
      <c r="I14" t="s">
        <v>275</v>
      </c>
      <c r="J14" t="s">
        <v>276</v>
      </c>
      <c r="K14" t="s">
        <v>322</v>
      </c>
      <c r="L14" t="s">
        <v>381</v>
      </c>
      <c r="M14" t="s">
        <v>382</v>
      </c>
      <c r="N14" t="s">
        <v>305</v>
      </c>
      <c r="O14" t="s">
        <v>306</v>
      </c>
      <c r="P14" t="s">
        <v>399</v>
      </c>
      <c r="Q14" s="4" t="s">
        <v>400</v>
      </c>
      <c r="R14" t="s">
        <v>405</v>
      </c>
      <c r="S14" t="s">
        <v>402</v>
      </c>
      <c r="T14" t="s">
        <v>284</v>
      </c>
      <c r="U14" t="s">
        <v>366</v>
      </c>
      <c r="V14" t="s">
        <v>479</v>
      </c>
      <c r="W14" t="s">
        <v>286</v>
      </c>
      <c r="X14" t="s">
        <v>287</v>
      </c>
      <c r="Y14" t="s">
        <v>318</v>
      </c>
      <c r="Z14" t="s">
        <v>319</v>
      </c>
      <c r="AA14">
        <v>36</v>
      </c>
      <c r="AB14" t="s">
        <v>1342</v>
      </c>
      <c r="AC14">
        <v>145.161</v>
      </c>
      <c r="AD14">
        <v>105.804</v>
      </c>
      <c r="AE14" t="s">
        <v>291</v>
      </c>
      <c r="AF14" s="1" t="s">
        <v>32</v>
      </c>
      <c r="AG14" t="s">
        <v>309</v>
      </c>
      <c r="AH14">
        <v>0</v>
      </c>
      <c r="AI14" t="s">
        <v>480</v>
      </c>
      <c r="AJ14" t="s">
        <v>536</v>
      </c>
      <c r="AK14">
        <v>0</v>
      </c>
      <c r="AL14">
        <v>0</v>
      </c>
      <c r="AM14">
        <v>0</v>
      </c>
      <c r="AN14">
        <v>0</v>
      </c>
      <c r="AP14" t="s">
        <v>563</v>
      </c>
      <c r="AQ14" t="s">
        <v>350</v>
      </c>
      <c r="AR14" t="s">
        <v>1343</v>
      </c>
      <c r="AT14" t="s">
        <v>295</v>
      </c>
      <c r="AU14" t="s">
        <v>482</v>
      </c>
      <c r="AV14" t="s">
        <v>483</v>
      </c>
      <c r="AW14">
        <v>2025</v>
      </c>
      <c r="AX14" t="s">
        <v>328</v>
      </c>
    </row>
    <row r="15" spans="1:50" x14ac:dyDescent="0.2">
      <c r="A15" t="s">
        <v>454</v>
      </c>
      <c r="B15" t="s">
        <v>455</v>
      </c>
      <c r="C15" t="s">
        <v>112</v>
      </c>
      <c r="D15" t="s">
        <v>111</v>
      </c>
      <c r="E15" s="1">
        <v>46094.712500000001</v>
      </c>
      <c r="F15">
        <v>0</v>
      </c>
      <c r="G15">
        <v>0</v>
      </c>
      <c r="H15" t="s">
        <v>274</v>
      </c>
      <c r="I15" t="s">
        <v>275</v>
      </c>
      <c r="J15" t="s">
        <v>276</v>
      </c>
      <c r="K15" t="s">
        <v>302</v>
      </c>
      <c r="L15" t="s">
        <v>278</v>
      </c>
      <c r="M15" t="s">
        <v>279</v>
      </c>
      <c r="N15" t="s">
        <v>456</v>
      </c>
      <c r="O15" t="s">
        <v>457</v>
      </c>
      <c r="P15" t="s">
        <v>458</v>
      </c>
      <c r="Q15" t="s">
        <v>459</v>
      </c>
      <c r="R15" t="s">
        <v>460</v>
      </c>
      <c r="S15" t="s">
        <v>363</v>
      </c>
      <c r="T15" t="s">
        <v>284</v>
      </c>
      <c r="V15" t="s">
        <v>461</v>
      </c>
      <c r="W15" t="s">
        <v>286</v>
      </c>
      <c r="X15" t="s">
        <v>287</v>
      </c>
      <c r="Y15" t="s">
        <v>318</v>
      </c>
      <c r="Z15" t="s">
        <v>319</v>
      </c>
      <c r="AA15">
        <v>8</v>
      </c>
      <c r="AB15" t="s">
        <v>462</v>
      </c>
      <c r="AC15">
        <v>38.277999999999999</v>
      </c>
      <c r="AD15">
        <v>783.01599999999996</v>
      </c>
      <c r="AE15" t="s">
        <v>291</v>
      </c>
      <c r="AF15" s="1" t="s">
        <v>32</v>
      </c>
      <c r="AG15" t="s">
        <v>309</v>
      </c>
      <c r="AH15">
        <v>0</v>
      </c>
      <c r="AI15" t="s">
        <v>463</v>
      </c>
      <c r="AJ15" t="s">
        <v>464</v>
      </c>
      <c r="AK15">
        <v>0</v>
      </c>
      <c r="AL15">
        <v>0</v>
      </c>
      <c r="AM15">
        <v>0</v>
      </c>
      <c r="AN15">
        <v>0</v>
      </c>
      <c r="AO15" t="s">
        <v>465</v>
      </c>
      <c r="AP15" t="s">
        <v>466</v>
      </c>
      <c r="AQ15" t="s">
        <v>202</v>
      </c>
      <c r="AR15" t="s">
        <v>467</v>
      </c>
      <c r="AT15" t="s">
        <v>295</v>
      </c>
      <c r="AU15" t="s">
        <v>468</v>
      </c>
      <c r="AV15" t="s">
        <v>469</v>
      </c>
      <c r="AW15">
        <v>2026</v>
      </c>
      <c r="AX15" t="s">
        <v>331</v>
      </c>
    </row>
    <row r="16" spans="1:50" x14ac:dyDescent="0.2">
      <c r="A16" t="s">
        <v>1344</v>
      </c>
      <c r="B16" t="s">
        <v>1345</v>
      </c>
      <c r="C16" t="s">
        <v>114</v>
      </c>
      <c r="D16" t="s">
        <v>113</v>
      </c>
      <c r="E16" s="1">
        <v>46050.67083333333</v>
      </c>
      <c r="F16">
        <v>1</v>
      </c>
      <c r="G16">
        <v>0</v>
      </c>
      <c r="H16" t="s">
        <v>274</v>
      </c>
      <c r="I16" t="s">
        <v>275</v>
      </c>
      <c r="J16" t="s">
        <v>276</v>
      </c>
      <c r="K16" t="s">
        <v>277</v>
      </c>
      <c r="L16" t="s">
        <v>381</v>
      </c>
      <c r="M16" t="s">
        <v>382</v>
      </c>
      <c r="N16" t="s">
        <v>347</v>
      </c>
      <c r="O16" t="s">
        <v>348</v>
      </c>
      <c r="P16" t="s">
        <v>399</v>
      </c>
      <c r="Q16" s="4" t="s">
        <v>400</v>
      </c>
      <c r="R16" t="s">
        <v>405</v>
      </c>
      <c r="S16" t="s">
        <v>402</v>
      </c>
      <c r="T16" t="s">
        <v>300</v>
      </c>
      <c r="U16" t="s">
        <v>277</v>
      </c>
      <c r="V16" t="s">
        <v>384</v>
      </c>
      <c r="W16" t="s">
        <v>286</v>
      </c>
      <c r="X16" t="s">
        <v>287</v>
      </c>
      <c r="Y16" t="s">
        <v>318</v>
      </c>
      <c r="Z16" t="s">
        <v>319</v>
      </c>
      <c r="AA16">
        <v>12</v>
      </c>
      <c r="AB16" t="s">
        <v>1346</v>
      </c>
      <c r="AC16">
        <v>48.387</v>
      </c>
      <c r="AD16">
        <v>35.268000000000001</v>
      </c>
      <c r="AE16" t="s">
        <v>291</v>
      </c>
      <c r="AF16" s="1">
        <v>46066</v>
      </c>
      <c r="AG16" t="s">
        <v>292</v>
      </c>
      <c r="AH16">
        <v>0</v>
      </c>
      <c r="AI16">
        <v>919.22</v>
      </c>
      <c r="AJ16" t="s">
        <v>397</v>
      </c>
      <c r="AK16">
        <v>0</v>
      </c>
      <c r="AL16">
        <v>0</v>
      </c>
      <c r="AM16">
        <v>0</v>
      </c>
      <c r="AN16">
        <v>0</v>
      </c>
      <c r="AP16" t="s">
        <v>1327</v>
      </c>
      <c r="AQ16" t="s">
        <v>350</v>
      </c>
      <c r="AR16" t="s">
        <v>1347</v>
      </c>
      <c r="AT16" t="s">
        <v>295</v>
      </c>
      <c r="AU16" t="s">
        <v>482</v>
      </c>
      <c r="AV16" t="s">
        <v>483</v>
      </c>
      <c r="AW16">
        <v>2025</v>
      </c>
      <c r="AX16" t="s">
        <v>344</v>
      </c>
    </row>
    <row r="17" spans="1:50" x14ac:dyDescent="0.2">
      <c r="A17" t="s">
        <v>586</v>
      </c>
      <c r="B17" t="s">
        <v>587</v>
      </c>
      <c r="C17" t="s">
        <v>124</v>
      </c>
      <c r="D17" t="s">
        <v>588</v>
      </c>
      <c r="E17" s="1">
        <v>46093</v>
      </c>
      <c r="F17">
        <v>1</v>
      </c>
      <c r="G17">
        <v>0</v>
      </c>
      <c r="H17" t="s">
        <v>274</v>
      </c>
      <c r="I17" t="s">
        <v>275</v>
      </c>
      <c r="J17" t="s">
        <v>276</v>
      </c>
      <c r="K17" t="s">
        <v>302</v>
      </c>
      <c r="L17" t="s">
        <v>367</v>
      </c>
      <c r="M17" t="s">
        <v>368</v>
      </c>
      <c r="N17" t="s">
        <v>369</v>
      </c>
      <c r="O17" t="s">
        <v>370</v>
      </c>
      <c r="P17" s="4" t="s">
        <v>589</v>
      </c>
      <c r="Q17" t="s">
        <v>590</v>
      </c>
      <c r="R17" s="4" t="s">
        <v>591</v>
      </c>
      <c r="S17" t="s">
        <v>283</v>
      </c>
      <c r="T17" t="s">
        <v>284</v>
      </c>
      <c r="U17" t="s">
        <v>308</v>
      </c>
      <c r="V17" t="s">
        <v>592</v>
      </c>
      <c r="W17" t="s">
        <v>286</v>
      </c>
      <c r="X17" t="s">
        <v>287</v>
      </c>
      <c r="Y17" t="s">
        <v>318</v>
      </c>
      <c r="Z17" t="s">
        <v>319</v>
      </c>
      <c r="AA17">
        <v>32</v>
      </c>
      <c r="AB17" t="s">
        <v>593</v>
      </c>
      <c r="AC17">
        <v>129.03200000000001</v>
      </c>
      <c r="AD17">
        <v>1504.768</v>
      </c>
      <c r="AE17" t="s">
        <v>291</v>
      </c>
      <c r="AF17" s="1" t="s">
        <v>32</v>
      </c>
      <c r="AG17" t="s">
        <v>309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P17" t="s">
        <v>594</v>
      </c>
      <c r="AQ17" t="s">
        <v>310</v>
      </c>
      <c r="AR17" t="s">
        <v>595</v>
      </c>
      <c r="AT17" t="s">
        <v>596</v>
      </c>
      <c r="AU17" t="s">
        <v>597</v>
      </c>
      <c r="AV17" t="s">
        <v>598</v>
      </c>
      <c r="AW17">
        <v>2026</v>
      </c>
      <c r="AX17" t="s">
        <v>351</v>
      </c>
    </row>
    <row r="18" spans="1:50" x14ac:dyDescent="0.2">
      <c r="A18" t="s">
        <v>1348</v>
      </c>
      <c r="B18" t="s">
        <v>1349</v>
      </c>
      <c r="C18" t="s">
        <v>120</v>
      </c>
      <c r="D18" t="s">
        <v>119</v>
      </c>
      <c r="E18" s="1">
        <v>46077.580555555556</v>
      </c>
      <c r="F18">
        <v>1</v>
      </c>
      <c r="G18">
        <v>0</v>
      </c>
      <c r="H18" t="s">
        <v>274</v>
      </c>
      <c r="I18" t="s">
        <v>317</v>
      </c>
      <c r="J18" t="s">
        <v>276</v>
      </c>
      <c r="K18" t="s">
        <v>277</v>
      </c>
      <c r="L18" t="s">
        <v>303</v>
      </c>
      <c r="M18" t="s">
        <v>304</v>
      </c>
      <c r="N18" t="s">
        <v>305</v>
      </c>
      <c r="O18" t="s">
        <v>306</v>
      </c>
      <c r="P18" t="s">
        <v>313</v>
      </c>
      <c r="Q18" t="s">
        <v>364</v>
      </c>
      <c r="R18" t="s">
        <v>365</v>
      </c>
      <c r="S18" t="s">
        <v>283</v>
      </c>
      <c r="T18" t="s">
        <v>284</v>
      </c>
      <c r="U18" t="s">
        <v>277</v>
      </c>
      <c r="V18" t="s">
        <v>359</v>
      </c>
      <c r="W18" t="s">
        <v>286</v>
      </c>
      <c r="X18" t="s">
        <v>287</v>
      </c>
      <c r="Y18" t="s">
        <v>288</v>
      </c>
      <c r="Z18" t="s">
        <v>289</v>
      </c>
      <c r="AA18">
        <v>8</v>
      </c>
      <c r="AB18" t="s">
        <v>1350</v>
      </c>
      <c r="AC18">
        <v>38.277999999999999</v>
      </c>
      <c r="AD18">
        <v>111.85599999999999</v>
      </c>
      <c r="AE18" t="s">
        <v>291</v>
      </c>
      <c r="AF18" s="1">
        <v>46108</v>
      </c>
      <c r="AG18" t="s">
        <v>292</v>
      </c>
      <c r="AH18">
        <v>0</v>
      </c>
      <c r="AI18" t="s">
        <v>360</v>
      </c>
      <c r="AJ18" t="s">
        <v>1351</v>
      </c>
      <c r="AK18">
        <v>0</v>
      </c>
      <c r="AL18">
        <v>0</v>
      </c>
      <c r="AM18">
        <v>0</v>
      </c>
      <c r="AN18">
        <v>0</v>
      </c>
      <c r="AO18" t="s">
        <v>293</v>
      </c>
      <c r="AP18" t="s">
        <v>1352</v>
      </c>
      <c r="AQ18" t="s">
        <v>202</v>
      </c>
      <c r="AR18" t="s">
        <v>1353</v>
      </c>
      <c r="AT18" t="s">
        <v>295</v>
      </c>
      <c r="AU18" t="s">
        <v>361</v>
      </c>
      <c r="AV18" t="s">
        <v>362</v>
      </c>
      <c r="AW18">
        <v>2025</v>
      </c>
      <c r="AX18" t="s">
        <v>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57F2-08B6-44AC-AC17-2EBAB982A7E6}">
  <dimension ref="A1:AJ120"/>
  <sheetViews>
    <sheetView topLeftCell="Y1" workbookViewId="0">
      <selection activeCell="AG1" sqref="AG1"/>
    </sheetView>
  </sheetViews>
  <sheetFormatPr baseColWidth="10" defaultColWidth="8.83203125" defaultRowHeight="15" x14ac:dyDescent="0.2"/>
  <cols>
    <col min="6" max="6" width="15" bestFit="1" customWidth="1"/>
    <col min="28" max="28" width="13.83203125" customWidth="1"/>
  </cols>
  <sheetData>
    <row r="1" spans="1:36" x14ac:dyDescent="0.2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238</v>
      </c>
      <c r="O1" t="s">
        <v>239</v>
      </c>
      <c r="P1" t="s">
        <v>240</v>
      </c>
      <c r="Q1" t="s">
        <v>241</v>
      </c>
      <c r="R1" t="s">
        <v>242</v>
      </c>
      <c r="S1" t="s">
        <v>244</v>
      </c>
      <c r="T1" t="s">
        <v>245</v>
      </c>
      <c r="U1" t="s">
        <v>246</v>
      </c>
      <c r="V1" t="s">
        <v>247</v>
      </c>
      <c r="W1" t="s">
        <v>248</v>
      </c>
      <c r="X1" t="s">
        <v>249</v>
      </c>
      <c r="Y1" t="s">
        <v>250</v>
      </c>
      <c r="Z1" t="s">
        <v>251</v>
      </c>
      <c r="AA1" t="s">
        <v>252</v>
      </c>
      <c r="AB1" t="s">
        <v>253</v>
      </c>
      <c r="AC1" t="s">
        <v>263</v>
      </c>
      <c r="AD1" t="s">
        <v>622</v>
      </c>
      <c r="AE1" t="s">
        <v>264</v>
      </c>
      <c r="AF1" t="s">
        <v>265</v>
      </c>
      <c r="AG1" t="s">
        <v>623</v>
      </c>
      <c r="AH1" t="s">
        <v>624</v>
      </c>
      <c r="AI1" t="s">
        <v>625</v>
      </c>
      <c r="AJ1" t="s">
        <v>626</v>
      </c>
    </row>
    <row r="2" spans="1:36" x14ac:dyDescent="0.2">
      <c r="A2" t="s">
        <v>273</v>
      </c>
      <c r="B2" s="1">
        <v>46000.556759259256</v>
      </c>
      <c r="C2" t="s">
        <v>627</v>
      </c>
      <c r="D2" t="s">
        <v>628</v>
      </c>
      <c r="E2" t="s">
        <v>629</v>
      </c>
      <c r="F2" s="1">
        <v>46000.527199074073</v>
      </c>
      <c r="G2">
        <v>1</v>
      </c>
      <c r="H2">
        <v>0</v>
      </c>
      <c r="I2" t="s">
        <v>274</v>
      </c>
      <c r="J2" t="s">
        <v>32</v>
      </c>
      <c r="K2" t="s">
        <v>276</v>
      </c>
      <c r="L2" t="s">
        <v>630</v>
      </c>
      <c r="M2" t="s">
        <v>278</v>
      </c>
      <c r="N2" t="s">
        <v>537</v>
      </c>
      <c r="O2" t="s">
        <v>538</v>
      </c>
      <c r="P2" t="s">
        <v>539</v>
      </c>
      <c r="Q2" t="s">
        <v>540</v>
      </c>
      <c r="R2" t="s">
        <v>300</v>
      </c>
      <c r="S2" t="s">
        <v>541</v>
      </c>
      <c r="T2" t="s">
        <v>286</v>
      </c>
      <c r="U2" t="s">
        <v>287</v>
      </c>
      <c r="V2" t="s">
        <v>318</v>
      </c>
      <c r="W2" t="s">
        <v>319</v>
      </c>
      <c r="X2">
        <v>2</v>
      </c>
      <c r="Y2" t="s">
        <v>544</v>
      </c>
      <c r="Z2">
        <v>9.5690000000000008</v>
      </c>
      <c r="AA2">
        <v>7.1999999999999995E-2</v>
      </c>
      <c r="AB2" t="s">
        <v>291</v>
      </c>
      <c r="AD2" t="s">
        <v>631</v>
      </c>
      <c r="AE2" t="s">
        <v>542</v>
      </c>
      <c r="AF2" t="s">
        <v>543</v>
      </c>
      <c r="AG2" t="s">
        <v>1286</v>
      </c>
      <c r="AH2" t="s">
        <v>632</v>
      </c>
      <c r="AI2" t="s">
        <v>633</v>
      </c>
      <c r="AJ2" t="s">
        <v>634</v>
      </c>
    </row>
    <row r="3" spans="1:36" x14ac:dyDescent="0.2">
      <c r="A3" t="s">
        <v>273</v>
      </c>
      <c r="B3" s="1">
        <v>46015.413043981483</v>
      </c>
      <c r="C3" t="s">
        <v>635</v>
      </c>
      <c r="D3" t="s">
        <v>636</v>
      </c>
      <c r="E3" t="s">
        <v>637</v>
      </c>
      <c r="F3" s="1">
        <v>46015.41746527778</v>
      </c>
      <c r="G3">
        <v>1</v>
      </c>
      <c r="H3">
        <v>0</v>
      </c>
      <c r="I3" t="s">
        <v>274</v>
      </c>
      <c r="J3" t="s">
        <v>32</v>
      </c>
      <c r="K3" t="s">
        <v>276</v>
      </c>
      <c r="L3" t="s">
        <v>630</v>
      </c>
      <c r="M3" t="s">
        <v>278</v>
      </c>
      <c r="N3" t="s">
        <v>537</v>
      </c>
      <c r="O3" t="s">
        <v>538</v>
      </c>
      <c r="P3" t="s">
        <v>539</v>
      </c>
      <c r="Q3" t="s">
        <v>540</v>
      </c>
      <c r="R3" t="s">
        <v>300</v>
      </c>
      <c r="S3" t="s">
        <v>541</v>
      </c>
      <c r="T3" t="s">
        <v>286</v>
      </c>
      <c r="U3" t="s">
        <v>287</v>
      </c>
      <c r="V3" t="s">
        <v>318</v>
      </c>
      <c r="W3" t="s">
        <v>319</v>
      </c>
      <c r="X3">
        <v>6</v>
      </c>
      <c r="Y3" t="s">
        <v>545</v>
      </c>
      <c r="Z3">
        <v>28.707999999999998</v>
      </c>
      <c r="AA3">
        <v>0.215</v>
      </c>
      <c r="AB3" t="s">
        <v>291</v>
      </c>
      <c r="AD3" t="s">
        <v>542</v>
      </c>
      <c r="AE3" t="s">
        <v>542</v>
      </c>
      <c r="AF3" t="s">
        <v>543</v>
      </c>
      <c r="AG3" t="s">
        <v>1294</v>
      </c>
      <c r="AH3" t="s">
        <v>638</v>
      </c>
      <c r="AI3" t="s">
        <v>639</v>
      </c>
      <c r="AJ3" t="s">
        <v>634</v>
      </c>
    </row>
    <row r="4" spans="1:36" x14ac:dyDescent="0.2">
      <c r="A4" t="s">
        <v>273</v>
      </c>
      <c r="B4" s="1">
        <v>46001.531828703701</v>
      </c>
      <c r="C4" t="s">
        <v>640</v>
      </c>
      <c r="D4" t="s">
        <v>641</v>
      </c>
      <c r="E4" t="s">
        <v>642</v>
      </c>
      <c r="F4" s="1">
        <v>46001.500347222223</v>
      </c>
      <c r="G4">
        <v>1</v>
      </c>
      <c r="H4">
        <v>0</v>
      </c>
      <c r="I4" t="s">
        <v>274</v>
      </c>
      <c r="J4" t="s">
        <v>32</v>
      </c>
      <c r="K4" t="s">
        <v>276</v>
      </c>
      <c r="L4" t="s">
        <v>630</v>
      </c>
      <c r="M4" t="s">
        <v>278</v>
      </c>
      <c r="N4" t="s">
        <v>537</v>
      </c>
      <c r="O4" t="s">
        <v>538</v>
      </c>
      <c r="P4" t="s">
        <v>539</v>
      </c>
      <c r="Q4" t="s">
        <v>540</v>
      </c>
      <c r="R4" t="s">
        <v>300</v>
      </c>
      <c r="S4" t="s">
        <v>541</v>
      </c>
      <c r="T4" t="s">
        <v>286</v>
      </c>
      <c r="U4" t="s">
        <v>287</v>
      </c>
      <c r="V4" t="s">
        <v>318</v>
      </c>
      <c r="W4" t="s">
        <v>319</v>
      </c>
      <c r="X4">
        <v>1</v>
      </c>
      <c r="Y4" t="s">
        <v>542</v>
      </c>
      <c r="Z4">
        <v>4.7850000000000001</v>
      </c>
      <c r="AA4">
        <v>3.5999999999999997E-2</v>
      </c>
      <c r="AB4" t="s">
        <v>291</v>
      </c>
      <c r="AD4" t="s">
        <v>643</v>
      </c>
      <c r="AE4" t="s">
        <v>542</v>
      </c>
      <c r="AF4" t="s">
        <v>543</v>
      </c>
      <c r="AG4" t="s">
        <v>1294</v>
      </c>
      <c r="AH4" t="s">
        <v>644</v>
      </c>
      <c r="AI4" t="s">
        <v>633</v>
      </c>
      <c r="AJ4" t="s">
        <v>634</v>
      </c>
    </row>
    <row r="5" spans="1:36" x14ac:dyDescent="0.2">
      <c r="A5" t="s">
        <v>273</v>
      </c>
      <c r="B5" s="1">
        <v>45999.843472222223</v>
      </c>
      <c r="C5" t="s">
        <v>645</v>
      </c>
      <c r="D5" t="s">
        <v>646</v>
      </c>
      <c r="E5" t="s">
        <v>647</v>
      </c>
      <c r="F5" s="1">
        <v>45751.633344907408</v>
      </c>
      <c r="G5">
        <v>1</v>
      </c>
      <c r="H5">
        <v>0</v>
      </c>
      <c r="I5" t="s">
        <v>274</v>
      </c>
      <c r="J5" t="s">
        <v>32</v>
      </c>
      <c r="K5" t="s">
        <v>276</v>
      </c>
      <c r="L5" t="s">
        <v>630</v>
      </c>
      <c r="M5" t="s">
        <v>278</v>
      </c>
      <c r="N5" t="s">
        <v>280</v>
      </c>
      <c r="O5" t="s">
        <v>281</v>
      </c>
      <c r="P5" t="s">
        <v>282</v>
      </c>
      <c r="Q5" t="s">
        <v>363</v>
      </c>
      <c r="R5" t="s">
        <v>300</v>
      </c>
      <c r="S5" t="s">
        <v>285</v>
      </c>
      <c r="T5" t="s">
        <v>286</v>
      </c>
      <c r="U5" t="s">
        <v>287</v>
      </c>
      <c r="V5" t="s">
        <v>288</v>
      </c>
      <c r="W5" t="s">
        <v>648</v>
      </c>
      <c r="X5">
        <v>20</v>
      </c>
      <c r="Y5" t="s">
        <v>649</v>
      </c>
      <c r="Z5">
        <v>95.694000000000003</v>
      </c>
      <c r="AA5">
        <v>0.95399999999999996</v>
      </c>
      <c r="AB5" t="s">
        <v>291</v>
      </c>
      <c r="AD5" t="s">
        <v>650</v>
      </c>
      <c r="AE5" t="s">
        <v>294</v>
      </c>
      <c r="AF5" t="s">
        <v>202</v>
      </c>
      <c r="AG5" t="s">
        <v>1294</v>
      </c>
      <c r="AH5" t="s">
        <v>651</v>
      </c>
      <c r="AI5" t="s">
        <v>652</v>
      </c>
      <c r="AJ5" t="s">
        <v>653</v>
      </c>
    </row>
    <row r="6" spans="1:36" x14ac:dyDescent="0.2">
      <c r="A6" t="s">
        <v>273</v>
      </c>
      <c r="B6" s="1">
        <v>45999.843472222223</v>
      </c>
      <c r="C6" t="s">
        <v>654</v>
      </c>
      <c r="D6" t="s">
        <v>655</v>
      </c>
      <c r="E6" t="s">
        <v>656</v>
      </c>
      <c r="F6" s="1">
        <v>45959.587523148148</v>
      </c>
      <c r="G6">
        <v>1</v>
      </c>
      <c r="H6">
        <v>0</v>
      </c>
      <c r="I6" t="s">
        <v>274</v>
      </c>
      <c r="J6" t="s">
        <v>32</v>
      </c>
      <c r="K6" t="s">
        <v>276</v>
      </c>
      <c r="L6" t="s">
        <v>630</v>
      </c>
      <c r="M6" t="s">
        <v>278</v>
      </c>
      <c r="N6" t="s">
        <v>280</v>
      </c>
      <c r="O6" t="s">
        <v>281</v>
      </c>
      <c r="P6" t="s">
        <v>282</v>
      </c>
      <c r="Q6" t="s">
        <v>283</v>
      </c>
      <c r="R6" t="s">
        <v>284</v>
      </c>
      <c r="S6" t="s">
        <v>285</v>
      </c>
      <c r="T6" t="s">
        <v>286</v>
      </c>
      <c r="U6" t="s">
        <v>287</v>
      </c>
      <c r="V6" t="s">
        <v>288</v>
      </c>
      <c r="W6" t="s">
        <v>648</v>
      </c>
      <c r="X6">
        <v>12</v>
      </c>
      <c r="Y6" t="s">
        <v>290</v>
      </c>
      <c r="Z6">
        <v>57.415999999999997</v>
      </c>
      <c r="AA6">
        <v>0.57199999999999995</v>
      </c>
      <c r="AB6" t="s">
        <v>291</v>
      </c>
      <c r="AC6" t="s">
        <v>293</v>
      </c>
      <c r="AD6" t="s">
        <v>657</v>
      </c>
      <c r="AE6" t="s">
        <v>294</v>
      </c>
      <c r="AF6" t="s">
        <v>202</v>
      </c>
      <c r="AG6" t="s">
        <v>1294</v>
      </c>
      <c r="AH6" t="s">
        <v>658</v>
      </c>
      <c r="AI6" t="s">
        <v>659</v>
      </c>
      <c r="AJ6" t="s">
        <v>653</v>
      </c>
    </row>
    <row r="7" spans="1:36" x14ac:dyDescent="0.2">
      <c r="A7" t="s">
        <v>273</v>
      </c>
      <c r="B7" s="1">
        <v>46001.49015046296</v>
      </c>
      <c r="C7" t="s">
        <v>660</v>
      </c>
      <c r="D7" t="s">
        <v>661</v>
      </c>
      <c r="E7" t="s">
        <v>662</v>
      </c>
      <c r="F7" s="1">
        <v>45989.510914351849</v>
      </c>
      <c r="G7">
        <v>1</v>
      </c>
      <c r="H7">
        <v>0</v>
      </c>
      <c r="I7" t="s">
        <v>274</v>
      </c>
      <c r="J7" t="s">
        <v>32</v>
      </c>
      <c r="K7" t="s">
        <v>276</v>
      </c>
      <c r="L7" t="s">
        <v>630</v>
      </c>
      <c r="M7" t="s">
        <v>554</v>
      </c>
      <c r="N7" t="s">
        <v>663</v>
      </c>
      <c r="O7" t="s">
        <v>664</v>
      </c>
      <c r="P7" t="s">
        <v>665</v>
      </c>
      <c r="Q7" t="s">
        <v>666</v>
      </c>
      <c r="R7" t="s">
        <v>300</v>
      </c>
      <c r="S7" t="s">
        <v>667</v>
      </c>
      <c r="T7" t="s">
        <v>286</v>
      </c>
      <c r="U7" t="s">
        <v>287</v>
      </c>
      <c r="V7" t="s">
        <v>318</v>
      </c>
      <c r="W7" t="s">
        <v>319</v>
      </c>
      <c r="X7">
        <v>81</v>
      </c>
      <c r="Y7" t="s">
        <v>668</v>
      </c>
      <c r="Z7">
        <v>326.613</v>
      </c>
      <c r="AA7">
        <v>1.3779999999999999</v>
      </c>
      <c r="AB7" t="s">
        <v>291</v>
      </c>
      <c r="AD7" t="s">
        <v>669</v>
      </c>
      <c r="AE7" t="s">
        <v>670</v>
      </c>
      <c r="AF7" t="s">
        <v>310</v>
      </c>
      <c r="AG7" t="s">
        <v>1286</v>
      </c>
      <c r="AH7" t="s">
        <v>671</v>
      </c>
      <c r="AI7" t="s">
        <v>672</v>
      </c>
      <c r="AJ7" t="s">
        <v>673</v>
      </c>
    </row>
    <row r="8" spans="1:36" x14ac:dyDescent="0.2">
      <c r="A8" t="s">
        <v>273</v>
      </c>
      <c r="B8" s="1">
        <v>46001.448483796295</v>
      </c>
      <c r="C8" t="s">
        <v>674</v>
      </c>
      <c r="D8" t="s">
        <v>675</v>
      </c>
      <c r="E8" t="s">
        <v>676</v>
      </c>
      <c r="F8" s="1">
        <v>45989.492476851854</v>
      </c>
      <c r="G8">
        <v>1</v>
      </c>
      <c r="H8">
        <v>0</v>
      </c>
      <c r="I8" t="s">
        <v>274</v>
      </c>
      <c r="J8" t="s">
        <v>32</v>
      </c>
      <c r="K8" t="s">
        <v>276</v>
      </c>
      <c r="L8" t="s">
        <v>630</v>
      </c>
      <c r="M8" t="s">
        <v>554</v>
      </c>
      <c r="N8" t="s">
        <v>663</v>
      </c>
      <c r="O8" t="s">
        <v>664</v>
      </c>
      <c r="P8" t="s">
        <v>665</v>
      </c>
      <c r="Q8" t="s">
        <v>666</v>
      </c>
      <c r="R8" t="s">
        <v>300</v>
      </c>
      <c r="S8" t="s">
        <v>667</v>
      </c>
      <c r="T8" t="s">
        <v>286</v>
      </c>
      <c r="U8" t="s">
        <v>287</v>
      </c>
      <c r="V8" t="s">
        <v>318</v>
      </c>
      <c r="W8" t="s">
        <v>319</v>
      </c>
      <c r="X8">
        <v>240</v>
      </c>
      <c r="Y8" t="s">
        <v>677</v>
      </c>
      <c r="Z8">
        <v>967.74199999999996</v>
      </c>
      <c r="AA8">
        <v>4.0830000000000002</v>
      </c>
      <c r="AB8" t="s">
        <v>291</v>
      </c>
      <c r="AD8" t="s">
        <v>678</v>
      </c>
      <c r="AE8" t="s">
        <v>670</v>
      </c>
      <c r="AF8" t="s">
        <v>310</v>
      </c>
      <c r="AG8" t="s">
        <v>1286</v>
      </c>
      <c r="AH8" t="s">
        <v>679</v>
      </c>
      <c r="AI8" t="s">
        <v>672</v>
      </c>
      <c r="AJ8" t="s">
        <v>673</v>
      </c>
    </row>
    <row r="9" spans="1:36" x14ac:dyDescent="0.2">
      <c r="A9" t="s">
        <v>273</v>
      </c>
      <c r="B9" s="1">
        <v>46001.49015046296</v>
      </c>
      <c r="C9" t="s">
        <v>660</v>
      </c>
      <c r="D9" t="s">
        <v>661</v>
      </c>
      <c r="E9" t="s">
        <v>662</v>
      </c>
      <c r="F9" s="1">
        <v>45989.510914351849</v>
      </c>
      <c r="G9">
        <v>1</v>
      </c>
      <c r="H9">
        <v>0</v>
      </c>
      <c r="I9" t="s">
        <v>274</v>
      </c>
      <c r="J9" t="s">
        <v>32</v>
      </c>
      <c r="K9" t="s">
        <v>276</v>
      </c>
      <c r="L9" t="s">
        <v>630</v>
      </c>
      <c r="M9" t="s">
        <v>554</v>
      </c>
      <c r="N9" t="s">
        <v>663</v>
      </c>
      <c r="O9" t="s">
        <v>664</v>
      </c>
      <c r="P9" t="s">
        <v>665</v>
      </c>
      <c r="Q9" t="s">
        <v>666</v>
      </c>
      <c r="R9" t="s">
        <v>300</v>
      </c>
      <c r="S9" t="s">
        <v>667</v>
      </c>
      <c r="T9" t="s">
        <v>286</v>
      </c>
      <c r="U9" t="s">
        <v>287</v>
      </c>
      <c r="V9" t="s">
        <v>318</v>
      </c>
      <c r="W9" t="s">
        <v>319</v>
      </c>
      <c r="X9">
        <v>16</v>
      </c>
      <c r="Y9" t="s">
        <v>680</v>
      </c>
      <c r="Z9">
        <v>64.516000000000005</v>
      </c>
      <c r="AA9">
        <v>0.27200000000000002</v>
      </c>
      <c r="AB9" t="s">
        <v>291</v>
      </c>
      <c r="AD9" t="s">
        <v>681</v>
      </c>
      <c r="AE9" t="s">
        <v>670</v>
      </c>
      <c r="AF9" t="s">
        <v>310</v>
      </c>
      <c r="AG9" t="s">
        <v>1286</v>
      </c>
      <c r="AH9" t="s">
        <v>671</v>
      </c>
      <c r="AI9" t="s">
        <v>672</v>
      </c>
      <c r="AJ9" t="s">
        <v>673</v>
      </c>
    </row>
    <row r="10" spans="1:36" x14ac:dyDescent="0.2">
      <c r="A10" t="s">
        <v>273</v>
      </c>
      <c r="B10" s="1">
        <v>45999.843472222223</v>
      </c>
      <c r="C10" t="s">
        <v>709</v>
      </c>
      <c r="D10" t="s">
        <v>710</v>
      </c>
      <c r="E10" t="s">
        <v>711</v>
      </c>
      <c r="F10" s="1">
        <v>45667.536793981482</v>
      </c>
      <c r="G10">
        <v>1</v>
      </c>
      <c r="H10">
        <v>0</v>
      </c>
      <c r="I10" t="s">
        <v>274</v>
      </c>
      <c r="J10" t="s">
        <v>32</v>
      </c>
      <c r="K10" t="s">
        <v>276</v>
      </c>
      <c r="L10" t="s">
        <v>630</v>
      </c>
      <c r="M10" t="s">
        <v>682</v>
      </c>
      <c r="N10" t="s">
        <v>420</v>
      </c>
      <c r="O10" t="s">
        <v>421</v>
      </c>
      <c r="P10" t="s">
        <v>422</v>
      </c>
      <c r="Q10" t="s">
        <v>423</v>
      </c>
      <c r="R10" t="s">
        <v>300</v>
      </c>
      <c r="S10" t="s">
        <v>413</v>
      </c>
      <c r="T10" t="s">
        <v>286</v>
      </c>
      <c r="U10" t="s">
        <v>287</v>
      </c>
      <c r="V10" t="s">
        <v>318</v>
      </c>
      <c r="W10" t="s">
        <v>319</v>
      </c>
      <c r="X10">
        <v>139</v>
      </c>
      <c r="Y10" t="s">
        <v>712</v>
      </c>
      <c r="Z10">
        <v>560.48400000000004</v>
      </c>
      <c r="AA10">
        <v>47.295000000000002</v>
      </c>
      <c r="AB10" t="s">
        <v>291</v>
      </c>
      <c r="AD10" t="s">
        <v>713</v>
      </c>
      <c r="AE10" t="s">
        <v>416</v>
      </c>
      <c r="AF10" t="s">
        <v>350</v>
      </c>
      <c r="AG10" t="s">
        <v>1301</v>
      </c>
      <c r="AH10" t="s">
        <v>714</v>
      </c>
      <c r="AI10" t="s">
        <v>715</v>
      </c>
      <c r="AJ10" t="s">
        <v>696</v>
      </c>
    </row>
    <row r="11" spans="1:36" x14ac:dyDescent="0.2">
      <c r="A11" t="s">
        <v>273</v>
      </c>
      <c r="B11" s="1">
        <v>45999.843472222223</v>
      </c>
      <c r="C11" t="s">
        <v>716</v>
      </c>
      <c r="D11" t="s">
        <v>717</v>
      </c>
      <c r="E11" t="s">
        <v>718</v>
      </c>
      <c r="F11" s="1">
        <v>45672.463946759257</v>
      </c>
      <c r="G11">
        <v>1</v>
      </c>
      <c r="H11">
        <v>0</v>
      </c>
      <c r="I11" t="s">
        <v>274</v>
      </c>
      <c r="J11" t="s">
        <v>32</v>
      </c>
      <c r="K11" t="s">
        <v>276</v>
      </c>
      <c r="L11" t="s">
        <v>630</v>
      </c>
      <c r="M11" t="s">
        <v>682</v>
      </c>
      <c r="N11" t="s">
        <v>420</v>
      </c>
      <c r="O11" t="s">
        <v>421</v>
      </c>
      <c r="P11" t="s">
        <v>422</v>
      </c>
      <c r="Q11" t="s">
        <v>423</v>
      </c>
      <c r="R11" t="s">
        <v>300</v>
      </c>
      <c r="S11" t="s">
        <v>413</v>
      </c>
      <c r="T11" t="s">
        <v>286</v>
      </c>
      <c r="U11" t="s">
        <v>287</v>
      </c>
      <c r="V11" t="s">
        <v>318</v>
      </c>
      <c r="W11" t="s">
        <v>319</v>
      </c>
      <c r="X11">
        <v>47</v>
      </c>
      <c r="Y11" t="s">
        <v>719</v>
      </c>
      <c r="Z11">
        <v>189.51599999999999</v>
      </c>
      <c r="AA11">
        <v>15.992000000000001</v>
      </c>
      <c r="AB11" t="s">
        <v>291</v>
      </c>
      <c r="AD11" t="s">
        <v>720</v>
      </c>
      <c r="AE11" t="s">
        <v>416</v>
      </c>
      <c r="AF11" t="s">
        <v>350</v>
      </c>
      <c r="AG11" t="s">
        <v>1301</v>
      </c>
      <c r="AH11" t="s">
        <v>721</v>
      </c>
      <c r="AI11" t="s">
        <v>722</v>
      </c>
      <c r="AJ11" t="s">
        <v>696</v>
      </c>
    </row>
    <row r="12" spans="1:36" x14ac:dyDescent="0.2">
      <c r="A12" t="s">
        <v>273</v>
      </c>
      <c r="B12" s="1">
        <v>45999.843472222223</v>
      </c>
      <c r="C12" t="s">
        <v>723</v>
      </c>
      <c r="D12" t="s">
        <v>724</v>
      </c>
      <c r="E12" t="s">
        <v>725</v>
      </c>
      <c r="F12" s="1">
        <v>45681.488796296297</v>
      </c>
      <c r="G12">
        <v>1</v>
      </c>
      <c r="H12">
        <v>0</v>
      </c>
      <c r="I12" t="s">
        <v>274</v>
      </c>
      <c r="J12" t="s">
        <v>32</v>
      </c>
      <c r="K12" t="s">
        <v>276</v>
      </c>
      <c r="L12" t="s">
        <v>630</v>
      </c>
      <c r="M12" t="s">
        <v>347</v>
      </c>
      <c r="N12" t="s">
        <v>389</v>
      </c>
      <c r="O12" t="s">
        <v>390</v>
      </c>
      <c r="P12" t="s">
        <v>403</v>
      </c>
      <c r="Q12" t="s">
        <v>404</v>
      </c>
      <c r="R12" t="s">
        <v>300</v>
      </c>
      <c r="S12" t="s">
        <v>413</v>
      </c>
      <c r="T12" t="s">
        <v>286</v>
      </c>
      <c r="U12" t="s">
        <v>287</v>
      </c>
      <c r="V12" t="s">
        <v>318</v>
      </c>
      <c r="W12" t="s">
        <v>319</v>
      </c>
      <c r="X12">
        <v>108</v>
      </c>
      <c r="Y12" t="s">
        <v>726</v>
      </c>
      <c r="Z12">
        <v>435.48399999999998</v>
      </c>
      <c r="AA12">
        <v>36.747</v>
      </c>
      <c r="AB12" t="s">
        <v>291</v>
      </c>
      <c r="AD12" t="s">
        <v>727</v>
      </c>
      <c r="AE12" t="s">
        <v>416</v>
      </c>
      <c r="AF12" t="s">
        <v>350</v>
      </c>
      <c r="AG12" t="s">
        <v>1301</v>
      </c>
      <c r="AH12" t="s">
        <v>728</v>
      </c>
      <c r="AI12" t="s">
        <v>729</v>
      </c>
      <c r="AJ12" t="s">
        <v>696</v>
      </c>
    </row>
    <row r="13" spans="1:36" x14ac:dyDescent="0.2">
      <c r="A13" t="s">
        <v>273</v>
      </c>
      <c r="B13" s="1">
        <v>45999.843472222223</v>
      </c>
      <c r="C13" t="s">
        <v>730</v>
      </c>
      <c r="D13" t="s">
        <v>731</v>
      </c>
      <c r="E13" t="s">
        <v>125</v>
      </c>
      <c r="F13" s="1">
        <v>45687.406967592593</v>
      </c>
      <c r="G13">
        <v>1</v>
      </c>
      <c r="H13">
        <v>0</v>
      </c>
      <c r="I13" t="s">
        <v>274</v>
      </c>
      <c r="J13" t="s">
        <v>32</v>
      </c>
      <c r="K13" t="s">
        <v>276</v>
      </c>
      <c r="L13" t="s">
        <v>630</v>
      </c>
      <c r="M13" t="s">
        <v>682</v>
      </c>
      <c r="N13" t="s">
        <v>420</v>
      </c>
      <c r="O13" t="s">
        <v>421</v>
      </c>
      <c r="P13" t="s">
        <v>422</v>
      </c>
      <c r="Q13" t="s">
        <v>423</v>
      </c>
      <c r="R13" t="s">
        <v>300</v>
      </c>
      <c r="S13" t="s">
        <v>413</v>
      </c>
      <c r="T13" t="s">
        <v>286</v>
      </c>
      <c r="U13" t="s">
        <v>287</v>
      </c>
      <c r="V13" t="s">
        <v>318</v>
      </c>
      <c r="W13" t="s">
        <v>319</v>
      </c>
      <c r="X13">
        <v>71</v>
      </c>
      <c r="Y13" t="s">
        <v>732</v>
      </c>
      <c r="Z13">
        <v>286.29000000000002</v>
      </c>
      <c r="AA13">
        <v>24.158000000000001</v>
      </c>
      <c r="AB13" t="s">
        <v>291</v>
      </c>
      <c r="AD13" t="s">
        <v>733</v>
      </c>
      <c r="AE13" t="s">
        <v>416</v>
      </c>
      <c r="AF13" t="s">
        <v>350</v>
      </c>
      <c r="AG13" t="s">
        <v>1301</v>
      </c>
      <c r="AH13" t="s">
        <v>734</v>
      </c>
      <c r="AI13" t="s">
        <v>735</v>
      </c>
      <c r="AJ13" t="s">
        <v>696</v>
      </c>
    </row>
    <row r="14" spans="1:36" x14ac:dyDescent="0.2">
      <c r="A14" t="s">
        <v>273</v>
      </c>
      <c r="B14" s="1">
        <v>45999.843472222223</v>
      </c>
      <c r="C14" t="s">
        <v>736</v>
      </c>
      <c r="D14" t="s">
        <v>737</v>
      </c>
      <c r="E14" t="s">
        <v>738</v>
      </c>
      <c r="F14" s="1">
        <v>45688.594907407409</v>
      </c>
      <c r="G14">
        <v>1</v>
      </c>
      <c r="H14">
        <v>0</v>
      </c>
      <c r="I14" t="s">
        <v>274</v>
      </c>
      <c r="J14" t="s">
        <v>32</v>
      </c>
      <c r="K14" t="s">
        <v>276</v>
      </c>
      <c r="L14" t="s">
        <v>630</v>
      </c>
      <c r="M14" t="s">
        <v>682</v>
      </c>
      <c r="N14" t="s">
        <v>407</v>
      </c>
      <c r="O14" t="s">
        <v>408</v>
      </c>
      <c r="P14" t="s">
        <v>409</v>
      </c>
      <c r="Q14" t="s">
        <v>283</v>
      </c>
      <c r="R14" t="s">
        <v>300</v>
      </c>
      <c r="S14" t="s">
        <v>413</v>
      </c>
      <c r="T14" t="s">
        <v>286</v>
      </c>
      <c r="U14" t="s">
        <v>287</v>
      </c>
      <c r="V14" t="s">
        <v>288</v>
      </c>
      <c r="W14" t="s">
        <v>648</v>
      </c>
      <c r="X14">
        <v>12</v>
      </c>
      <c r="Y14" t="s">
        <v>419</v>
      </c>
      <c r="Z14">
        <v>48.387</v>
      </c>
      <c r="AA14">
        <v>4.0830000000000002</v>
      </c>
      <c r="AB14" t="s">
        <v>291</v>
      </c>
      <c r="AD14" t="s">
        <v>699</v>
      </c>
      <c r="AE14" t="s">
        <v>416</v>
      </c>
      <c r="AF14" t="s">
        <v>350</v>
      </c>
      <c r="AG14" t="s">
        <v>1301</v>
      </c>
      <c r="AH14" t="s">
        <v>739</v>
      </c>
      <c r="AI14" t="s">
        <v>740</v>
      </c>
      <c r="AJ14" t="s">
        <v>696</v>
      </c>
    </row>
    <row r="15" spans="1:36" x14ac:dyDescent="0.2">
      <c r="A15" t="s">
        <v>273</v>
      </c>
      <c r="B15" s="1">
        <v>45999.843472222223</v>
      </c>
      <c r="C15" t="s">
        <v>741</v>
      </c>
      <c r="D15" t="s">
        <v>742</v>
      </c>
      <c r="E15" t="s">
        <v>128</v>
      </c>
      <c r="F15" s="1">
        <v>45688.745243055557</v>
      </c>
      <c r="G15">
        <v>1</v>
      </c>
      <c r="H15">
        <v>0</v>
      </c>
      <c r="I15" t="s">
        <v>274</v>
      </c>
      <c r="J15" t="s">
        <v>32</v>
      </c>
      <c r="K15" t="s">
        <v>276</v>
      </c>
      <c r="L15" t="s">
        <v>630</v>
      </c>
      <c r="M15" t="s">
        <v>743</v>
      </c>
      <c r="N15" t="s">
        <v>355</v>
      </c>
      <c r="O15" t="s">
        <v>356</v>
      </c>
      <c r="P15" t="s">
        <v>357</v>
      </c>
      <c r="Q15" t="s">
        <v>358</v>
      </c>
      <c r="R15" t="s">
        <v>300</v>
      </c>
      <c r="S15" t="s">
        <v>413</v>
      </c>
      <c r="T15" t="s">
        <v>286</v>
      </c>
      <c r="U15" t="s">
        <v>287</v>
      </c>
      <c r="V15" t="s">
        <v>318</v>
      </c>
      <c r="W15" t="s">
        <v>319</v>
      </c>
      <c r="X15">
        <v>12</v>
      </c>
      <c r="Y15" t="s">
        <v>448</v>
      </c>
      <c r="Z15">
        <v>48.387</v>
      </c>
      <c r="AA15">
        <v>4.0830000000000002</v>
      </c>
      <c r="AB15" t="s">
        <v>291</v>
      </c>
      <c r="AD15" t="s">
        <v>697</v>
      </c>
      <c r="AE15" t="s">
        <v>418</v>
      </c>
      <c r="AF15" t="s">
        <v>350</v>
      </c>
      <c r="AG15" t="s">
        <v>1301</v>
      </c>
      <c r="AH15" t="s">
        <v>744</v>
      </c>
      <c r="AI15" t="s">
        <v>745</v>
      </c>
      <c r="AJ15" t="s">
        <v>696</v>
      </c>
    </row>
    <row r="16" spans="1:36" x14ac:dyDescent="0.2">
      <c r="A16" t="s">
        <v>273</v>
      </c>
      <c r="B16" s="1">
        <v>45999.843472222223</v>
      </c>
      <c r="C16" t="s">
        <v>749</v>
      </c>
      <c r="D16" t="s">
        <v>750</v>
      </c>
      <c r="E16" t="s">
        <v>122</v>
      </c>
      <c r="F16" s="1">
        <v>45702.651331018518</v>
      </c>
      <c r="G16">
        <v>1</v>
      </c>
      <c r="H16">
        <v>0</v>
      </c>
      <c r="I16" t="s">
        <v>274</v>
      </c>
      <c r="J16" t="s">
        <v>32</v>
      </c>
      <c r="K16" t="s">
        <v>276</v>
      </c>
      <c r="L16" t="s">
        <v>630</v>
      </c>
      <c r="M16" t="s">
        <v>743</v>
      </c>
      <c r="N16" t="s">
        <v>355</v>
      </c>
      <c r="O16" t="s">
        <v>356</v>
      </c>
      <c r="P16" t="s">
        <v>357</v>
      </c>
      <c r="Q16" t="s">
        <v>358</v>
      </c>
      <c r="R16" t="s">
        <v>300</v>
      </c>
      <c r="S16" t="s">
        <v>413</v>
      </c>
      <c r="T16" t="s">
        <v>286</v>
      </c>
      <c r="U16" t="s">
        <v>287</v>
      </c>
      <c r="V16" t="s">
        <v>318</v>
      </c>
      <c r="W16" t="s">
        <v>319</v>
      </c>
      <c r="X16">
        <v>46</v>
      </c>
      <c r="Y16" t="s">
        <v>751</v>
      </c>
      <c r="Z16">
        <v>185.48400000000001</v>
      </c>
      <c r="AA16">
        <v>15.651999999999999</v>
      </c>
      <c r="AB16" t="s">
        <v>291</v>
      </c>
      <c r="AD16" t="s">
        <v>752</v>
      </c>
      <c r="AE16" t="s">
        <v>418</v>
      </c>
      <c r="AF16" t="s">
        <v>350</v>
      </c>
      <c r="AG16" t="s">
        <v>613</v>
      </c>
      <c r="AH16" t="s">
        <v>753</v>
      </c>
      <c r="AI16" t="s">
        <v>754</v>
      </c>
      <c r="AJ16" t="s">
        <v>696</v>
      </c>
    </row>
    <row r="17" spans="1:36" x14ac:dyDescent="0.2">
      <c r="A17" t="s">
        <v>273</v>
      </c>
      <c r="B17" s="1">
        <v>45999.843472222223</v>
      </c>
      <c r="C17" t="s">
        <v>684</v>
      </c>
      <c r="D17" t="s">
        <v>685</v>
      </c>
      <c r="E17" t="s">
        <v>686</v>
      </c>
      <c r="F17" s="1">
        <v>45705.596875000003</v>
      </c>
      <c r="G17">
        <v>1</v>
      </c>
      <c r="H17">
        <v>0</v>
      </c>
      <c r="I17" t="s">
        <v>274</v>
      </c>
      <c r="J17" t="s">
        <v>32</v>
      </c>
      <c r="K17" t="s">
        <v>276</v>
      </c>
      <c r="L17" t="s">
        <v>630</v>
      </c>
      <c r="M17" t="s">
        <v>682</v>
      </c>
      <c r="N17" t="s">
        <v>437</v>
      </c>
      <c r="O17" t="s">
        <v>438</v>
      </c>
      <c r="P17" t="s">
        <v>683</v>
      </c>
      <c r="Q17" t="s">
        <v>307</v>
      </c>
      <c r="R17" t="s">
        <v>300</v>
      </c>
      <c r="S17" t="s">
        <v>413</v>
      </c>
      <c r="T17" t="s">
        <v>286</v>
      </c>
      <c r="U17" t="s">
        <v>287</v>
      </c>
      <c r="V17" t="s">
        <v>318</v>
      </c>
      <c r="W17" t="s">
        <v>319</v>
      </c>
      <c r="X17">
        <v>12</v>
      </c>
      <c r="Y17" t="s">
        <v>440</v>
      </c>
      <c r="Z17">
        <v>48.387</v>
      </c>
      <c r="AA17">
        <v>4.0830000000000002</v>
      </c>
      <c r="AB17" t="s">
        <v>291</v>
      </c>
      <c r="AD17">
        <v>0</v>
      </c>
      <c r="AE17" t="s">
        <v>441</v>
      </c>
      <c r="AF17" t="s">
        <v>350</v>
      </c>
      <c r="AG17" t="s">
        <v>613</v>
      </c>
      <c r="AH17" t="s">
        <v>687</v>
      </c>
      <c r="AI17" t="s">
        <v>755</v>
      </c>
      <c r="AJ17" t="s">
        <v>696</v>
      </c>
    </row>
    <row r="18" spans="1:36" x14ac:dyDescent="0.2">
      <c r="A18" t="s">
        <v>273</v>
      </c>
      <c r="B18" s="1">
        <v>45999.843472222223</v>
      </c>
      <c r="C18" t="s">
        <v>756</v>
      </c>
      <c r="D18" t="s">
        <v>757</v>
      </c>
      <c r="E18" t="s">
        <v>220</v>
      </c>
      <c r="F18" s="1">
        <v>45716.620532407411</v>
      </c>
      <c r="G18">
        <v>1</v>
      </c>
      <c r="H18">
        <v>0</v>
      </c>
      <c r="I18" t="s">
        <v>274</v>
      </c>
      <c r="J18" t="s">
        <v>32</v>
      </c>
      <c r="K18" t="s">
        <v>276</v>
      </c>
      <c r="L18" t="s">
        <v>630</v>
      </c>
      <c r="M18" t="s">
        <v>743</v>
      </c>
      <c r="N18" t="s">
        <v>355</v>
      </c>
      <c r="O18" t="s">
        <v>356</v>
      </c>
      <c r="P18" t="s">
        <v>357</v>
      </c>
      <c r="Q18" t="s">
        <v>358</v>
      </c>
      <c r="R18" t="s">
        <v>300</v>
      </c>
      <c r="S18" t="s">
        <v>413</v>
      </c>
      <c r="T18" t="s">
        <v>286</v>
      </c>
      <c r="U18" t="s">
        <v>287</v>
      </c>
      <c r="V18" t="s">
        <v>318</v>
      </c>
      <c r="W18" t="s">
        <v>319</v>
      </c>
      <c r="X18">
        <v>35</v>
      </c>
      <c r="Y18" t="s">
        <v>758</v>
      </c>
      <c r="Z18">
        <v>141.12899999999999</v>
      </c>
      <c r="AA18">
        <v>11.909000000000001</v>
      </c>
      <c r="AB18" t="s">
        <v>291</v>
      </c>
      <c r="AD18" t="s">
        <v>759</v>
      </c>
      <c r="AE18" t="s">
        <v>418</v>
      </c>
      <c r="AF18" t="s">
        <v>350</v>
      </c>
      <c r="AG18" t="s">
        <v>613</v>
      </c>
      <c r="AH18" t="s">
        <v>760</v>
      </c>
      <c r="AI18" t="s">
        <v>761</v>
      </c>
      <c r="AJ18" t="s">
        <v>696</v>
      </c>
    </row>
    <row r="19" spans="1:36" x14ac:dyDescent="0.2">
      <c r="A19" t="s">
        <v>273</v>
      </c>
      <c r="B19" s="1">
        <v>45999.843472222223</v>
      </c>
      <c r="C19" t="s">
        <v>762</v>
      </c>
      <c r="D19" t="s">
        <v>763</v>
      </c>
      <c r="E19" t="s">
        <v>129</v>
      </c>
      <c r="F19" s="1">
        <v>45716.696064814816</v>
      </c>
      <c r="G19">
        <v>1</v>
      </c>
      <c r="H19">
        <v>0</v>
      </c>
      <c r="I19" t="s">
        <v>274</v>
      </c>
      <c r="J19" t="s">
        <v>32</v>
      </c>
      <c r="K19" t="s">
        <v>276</v>
      </c>
      <c r="L19" t="s">
        <v>630</v>
      </c>
      <c r="M19" t="s">
        <v>478</v>
      </c>
      <c r="N19" t="s">
        <v>399</v>
      </c>
      <c r="O19" s="4" t="s">
        <v>400</v>
      </c>
      <c r="P19" t="s">
        <v>405</v>
      </c>
      <c r="Q19" t="s">
        <v>402</v>
      </c>
      <c r="R19" t="s">
        <v>300</v>
      </c>
      <c r="S19" t="s">
        <v>413</v>
      </c>
      <c r="T19" t="s">
        <v>286</v>
      </c>
      <c r="U19" t="s">
        <v>287</v>
      </c>
      <c r="V19" t="s">
        <v>318</v>
      </c>
      <c r="W19" t="s">
        <v>319</v>
      </c>
      <c r="X19">
        <v>107</v>
      </c>
      <c r="Y19" t="s">
        <v>747</v>
      </c>
      <c r="Z19">
        <v>431.452</v>
      </c>
      <c r="AA19">
        <v>36.406999999999996</v>
      </c>
      <c r="AB19" t="s">
        <v>291</v>
      </c>
      <c r="AD19" t="s">
        <v>748</v>
      </c>
      <c r="AE19" t="s">
        <v>416</v>
      </c>
      <c r="AF19" t="s">
        <v>350</v>
      </c>
      <c r="AG19" t="s">
        <v>613</v>
      </c>
      <c r="AH19" t="s">
        <v>764</v>
      </c>
      <c r="AI19" t="s">
        <v>765</v>
      </c>
      <c r="AJ19" t="s">
        <v>696</v>
      </c>
    </row>
    <row r="20" spans="1:36" x14ac:dyDescent="0.2">
      <c r="A20" t="s">
        <v>273</v>
      </c>
      <c r="B20" s="1">
        <v>45999.843472222223</v>
      </c>
      <c r="C20" t="s">
        <v>766</v>
      </c>
      <c r="D20" t="s">
        <v>767</v>
      </c>
      <c r="E20" t="s">
        <v>217</v>
      </c>
      <c r="F20" s="1">
        <v>45716.703946759262</v>
      </c>
      <c r="G20">
        <v>1</v>
      </c>
      <c r="H20">
        <v>0</v>
      </c>
      <c r="I20" t="s">
        <v>274</v>
      </c>
      <c r="J20" t="s">
        <v>32</v>
      </c>
      <c r="K20" t="s">
        <v>276</v>
      </c>
      <c r="L20" t="s">
        <v>630</v>
      </c>
      <c r="M20" t="s">
        <v>743</v>
      </c>
      <c r="N20" t="s">
        <v>355</v>
      </c>
      <c r="O20" t="s">
        <v>356</v>
      </c>
      <c r="P20" t="s">
        <v>357</v>
      </c>
      <c r="Q20" t="s">
        <v>358</v>
      </c>
      <c r="R20" t="s">
        <v>300</v>
      </c>
      <c r="S20" t="s">
        <v>413</v>
      </c>
      <c r="T20" t="s">
        <v>286</v>
      </c>
      <c r="U20" t="s">
        <v>287</v>
      </c>
      <c r="V20" t="s">
        <v>318</v>
      </c>
      <c r="W20" t="s">
        <v>319</v>
      </c>
      <c r="X20">
        <v>45</v>
      </c>
      <c r="Y20" t="s">
        <v>768</v>
      </c>
      <c r="Z20">
        <v>181.452</v>
      </c>
      <c r="AA20">
        <v>15.311</v>
      </c>
      <c r="AB20" t="s">
        <v>291</v>
      </c>
      <c r="AD20" t="s">
        <v>769</v>
      </c>
      <c r="AE20" t="s">
        <v>418</v>
      </c>
      <c r="AF20" t="s">
        <v>350</v>
      </c>
      <c r="AG20" t="s">
        <v>613</v>
      </c>
      <c r="AH20" t="s">
        <v>770</v>
      </c>
      <c r="AI20" t="s">
        <v>771</v>
      </c>
      <c r="AJ20" t="s">
        <v>696</v>
      </c>
    </row>
    <row r="21" spans="1:36" x14ac:dyDescent="0.2">
      <c r="A21" t="s">
        <v>273</v>
      </c>
      <c r="B21" s="1">
        <v>45999.843472222223</v>
      </c>
      <c r="C21" t="s">
        <v>772</v>
      </c>
      <c r="D21" t="s">
        <v>773</v>
      </c>
      <c r="E21" t="s">
        <v>774</v>
      </c>
      <c r="F21" s="1">
        <v>45734.503391203703</v>
      </c>
      <c r="G21">
        <v>1</v>
      </c>
      <c r="H21">
        <v>0</v>
      </c>
      <c r="I21" t="s">
        <v>274</v>
      </c>
      <c r="J21" t="s">
        <v>32</v>
      </c>
      <c r="K21" t="s">
        <v>276</v>
      </c>
      <c r="L21" t="s">
        <v>630</v>
      </c>
      <c r="M21" t="s">
        <v>381</v>
      </c>
      <c r="N21" t="s">
        <v>392</v>
      </c>
      <c r="O21" t="s">
        <v>393</v>
      </c>
      <c r="P21" t="s">
        <v>398</v>
      </c>
      <c r="Q21" t="s">
        <v>395</v>
      </c>
      <c r="R21" t="s">
        <v>300</v>
      </c>
      <c r="S21" t="s">
        <v>413</v>
      </c>
      <c r="T21" t="s">
        <v>286</v>
      </c>
      <c r="U21" t="s">
        <v>287</v>
      </c>
      <c r="V21" t="s">
        <v>318</v>
      </c>
      <c r="W21" t="s">
        <v>319</v>
      </c>
      <c r="X21">
        <v>12</v>
      </c>
      <c r="Y21" t="s">
        <v>419</v>
      </c>
      <c r="Z21">
        <v>48.387</v>
      </c>
      <c r="AA21">
        <v>4.0830000000000002</v>
      </c>
      <c r="AB21" t="s">
        <v>291</v>
      </c>
      <c r="AD21" t="s">
        <v>699</v>
      </c>
      <c r="AE21" t="s">
        <v>416</v>
      </c>
      <c r="AF21" t="s">
        <v>350</v>
      </c>
      <c r="AG21" t="s">
        <v>605</v>
      </c>
      <c r="AH21" t="s">
        <v>775</v>
      </c>
      <c r="AI21" t="s">
        <v>776</v>
      </c>
      <c r="AJ21" t="s">
        <v>696</v>
      </c>
    </row>
    <row r="22" spans="1:36" x14ac:dyDescent="0.2">
      <c r="A22" t="s">
        <v>273</v>
      </c>
      <c r="B22" s="1">
        <v>45999.843472222223</v>
      </c>
      <c r="C22" t="s">
        <v>777</v>
      </c>
      <c r="D22" t="s">
        <v>778</v>
      </c>
      <c r="E22" t="s">
        <v>779</v>
      </c>
      <c r="F22" s="1">
        <v>45734.655590277776</v>
      </c>
      <c r="G22">
        <v>1</v>
      </c>
      <c r="H22">
        <v>0</v>
      </c>
      <c r="I22" t="s">
        <v>274</v>
      </c>
      <c r="J22" t="s">
        <v>32</v>
      </c>
      <c r="K22" t="s">
        <v>276</v>
      </c>
      <c r="L22" t="s">
        <v>630</v>
      </c>
      <c r="M22" t="s">
        <v>347</v>
      </c>
      <c r="N22" t="s">
        <v>437</v>
      </c>
      <c r="O22" t="s">
        <v>438</v>
      </c>
      <c r="P22" t="s">
        <v>439</v>
      </c>
      <c r="Q22" t="s">
        <v>307</v>
      </c>
      <c r="R22" t="s">
        <v>284</v>
      </c>
      <c r="S22" t="s">
        <v>413</v>
      </c>
      <c r="T22" t="s">
        <v>286</v>
      </c>
      <c r="U22" t="s">
        <v>287</v>
      </c>
      <c r="V22" t="s">
        <v>318</v>
      </c>
      <c r="W22" t="s">
        <v>319</v>
      </c>
      <c r="X22">
        <v>12</v>
      </c>
      <c r="Y22" t="s">
        <v>440</v>
      </c>
      <c r="Z22">
        <v>48.387</v>
      </c>
      <c r="AA22">
        <v>4.0830000000000002</v>
      </c>
      <c r="AB22" t="s">
        <v>291</v>
      </c>
      <c r="AD22">
        <v>0</v>
      </c>
      <c r="AE22" t="s">
        <v>441</v>
      </c>
      <c r="AF22" t="s">
        <v>350</v>
      </c>
      <c r="AG22" t="s">
        <v>605</v>
      </c>
      <c r="AH22" t="s">
        <v>780</v>
      </c>
      <c r="AI22" t="s">
        <v>781</v>
      </c>
      <c r="AJ22" t="s">
        <v>696</v>
      </c>
    </row>
    <row r="23" spans="1:36" x14ac:dyDescent="0.2">
      <c r="A23" t="s">
        <v>273</v>
      </c>
      <c r="B23" s="1">
        <v>45999.843472222223</v>
      </c>
      <c r="C23" t="s">
        <v>782</v>
      </c>
      <c r="D23" t="s">
        <v>783</v>
      </c>
      <c r="E23" t="s">
        <v>784</v>
      </c>
      <c r="F23" s="1">
        <v>45747.7422337963</v>
      </c>
      <c r="G23">
        <v>1</v>
      </c>
      <c r="H23">
        <v>0</v>
      </c>
      <c r="I23" t="s">
        <v>274</v>
      </c>
      <c r="J23" t="s">
        <v>32</v>
      </c>
      <c r="K23" t="s">
        <v>276</v>
      </c>
      <c r="L23" t="s">
        <v>630</v>
      </c>
      <c r="M23" t="s">
        <v>381</v>
      </c>
      <c r="N23" t="s">
        <v>355</v>
      </c>
      <c r="O23" t="s">
        <v>356</v>
      </c>
      <c r="P23" t="s">
        <v>357</v>
      </c>
      <c r="Q23" t="s">
        <v>358</v>
      </c>
      <c r="R23" t="s">
        <v>300</v>
      </c>
      <c r="S23" t="s">
        <v>413</v>
      </c>
      <c r="T23" t="s">
        <v>286</v>
      </c>
      <c r="U23" t="s">
        <v>287</v>
      </c>
      <c r="V23" t="s">
        <v>318</v>
      </c>
      <c r="W23" t="s">
        <v>319</v>
      </c>
      <c r="X23">
        <v>12</v>
      </c>
      <c r="Y23" t="s">
        <v>448</v>
      </c>
      <c r="Z23">
        <v>48.387</v>
      </c>
      <c r="AA23">
        <v>4.0830000000000002</v>
      </c>
      <c r="AB23" t="s">
        <v>291</v>
      </c>
      <c r="AD23" t="s">
        <v>697</v>
      </c>
      <c r="AE23" t="s">
        <v>418</v>
      </c>
      <c r="AF23" t="s">
        <v>350</v>
      </c>
      <c r="AG23" t="s">
        <v>605</v>
      </c>
      <c r="AH23" t="s">
        <v>785</v>
      </c>
      <c r="AI23" t="s">
        <v>786</v>
      </c>
      <c r="AJ23" t="s">
        <v>696</v>
      </c>
    </row>
    <row r="24" spans="1:36" x14ac:dyDescent="0.2">
      <c r="A24" t="s">
        <v>273</v>
      </c>
      <c r="B24" s="1">
        <v>45999.843472222223</v>
      </c>
      <c r="C24" t="s">
        <v>787</v>
      </c>
      <c r="D24" t="s">
        <v>788</v>
      </c>
      <c r="E24" t="s">
        <v>789</v>
      </c>
      <c r="F24" s="1">
        <v>45751.729618055557</v>
      </c>
      <c r="G24">
        <v>1</v>
      </c>
      <c r="H24">
        <v>0</v>
      </c>
      <c r="I24" t="s">
        <v>274</v>
      </c>
      <c r="J24" t="s">
        <v>32</v>
      </c>
      <c r="K24" t="s">
        <v>276</v>
      </c>
      <c r="L24" t="s">
        <v>630</v>
      </c>
      <c r="M24" t="s">
        <v>381</v>
      </c>
      <c r="N24" t="s">
        <v>399</v>
      </c>
      <c r="O24" s="4" t="s">
        <v>400</v>
      </c>
      <c r="P24" t="s">
        <v>401</v>
      </c>
      <c r="Q24" t="s">
        <v>402</v>
      </c>
      <c r="R24" t="s">
        <v>284</v>
      </c>
      <c r="S24" t="s">
        <v>413</v>
      </c>
      <c r="T24" t="s">
        <v>286</v>
      </c>
      <c r="U24" t="s">
        <v>287</v>
      </c>
      <c r="V24" t="s">
        <v>318</v>
      </c>
      <c r="W24" t="s">
        <v>319</v>
      </c>
      <c r="X24">
        <v>149</v>
      </c>
      <c r="Y24" t="s">
        <v>790</v>
      </c>
      <c r="Z24">
        <v>600.80600000000004</v>
      </c>
      <c r="AA24">
        <v>50.698</v>
      </c>
      <c r="AB24" t="s">
        <v>291</v>
      </c>
      <c r="AD24" t="s">
        <v>791</v>
      </c>
      <c r="AE24" t="s">
        <v>416</v>
      </c>
      <c r="AF24" t="s">
        <v>350</v>
      </c>
      <c r="AG24" t="s">
        <v>605</v>
      </c>
      <c r="AH24" t="s">
        <v>792</v>
      </c>
      <c r="AI24" t="s">
        <v>793</v>
      </c>
      <c r="AJ24" t="s">
        <v>696</v>
      </c>
    </row>
    <row r="25" spans="1:36" x14ac:dyDescent="0.2">
      <c r="A25" t="s">
        <v>273</v>
      </c>
      <c r="B25" s="1">
        <v>45999.843472222223</v>
      </c>
      <c r="C25" t="s">
        <v>794</v>
      </c>
      <c r="D25" t="s">
        <v>795</v>
      </c>
      <c r="E25" t="s">
        <v>796</v>
      </c>
      <c r="F25" s="1">
        <v>45758.419050925928</v>
      </c>
      <c r="G25">
        <v>1</v>
      </c>
      <c r="H25">
        <v>0</v>
      </c>
      <c r="I25" t="s">
        <v>274</v>
      </c>
      <c r="J25" t="s">
        <v>32</v>
      </c>
      <c r="K25" t="s">
        <v>276</v>
      </c>
      <c r="L25" t="s">
        <v>630</v>
      </c>
      <c r="M25" t="s">
        <v>381</v>
      </c>
      <c r="N25" t="s">
        <v>392</v>
      </c>
      <c r="O25" t="s">
        <v>393</v>
      </c>
      <c r="P25" t="s">
        <v>398</v>
      </c>
      <c r="Q25" t="s">
        <v>395</v>
      </c>
      <c r="R25" t="s">
        <v>300</v>
      </c>
      <c r="S25" t="s">
        <v>413</v>
      </c>
      <c r="T25" t="s">
        <v>286</v>
      </c>
      <c r="U25" t="s">
        <v>287</v>
      </c>
      <c r="V25" t="s">
        <v>318</v>
      </c>
      <c r="W25" t="s">
        <v>319</v>
      </c>
      <c r="X25">
        <v>12</v>
      </c>
      <c r="Y25" t="s">
        <v>419</v>
      </c>
      <c r="Z25">
        <v>48.387</v>
      </c>
      <c r="AA25">
        <v>4.0830000000000002</v>
      </c>
      <c r="AB25" t="s">
        <v>291</v>
      </c>
      <c r="AD25" t="s">
        <v>699</v>
      </c>
      <c r="AE25" t="s">
        <v>416</v>
      </c>
      <c r="AF25" t="s">
        <v>350</v>
      </c>
      <c r="AG25" t="s">
        <v>605</v>
      </c>
      <c r="AH25" t="s">
        <v>797</v>
      </c>
      <c r="AI25" t="s">
        <v>798</v>
      </c>
      <c r="AJ25" t="s">
        <v>696</v>
      </c>
    </row>
    <row r="26" spans="1:36" x14ac:dyDescent="0.2">
      <c r="A26" t="s">
        <v>273</v>
      </c>
      <c r="B26" s="1">
        <v>45999.843472222223</v>
      </c>
      <c r="C26" t="s">
        <v>799</v>
      </c>
      <c r="D26" t="s">
        <v>800</v>
      </c>
      <c r="E26" t="s">
        <v>801</v>
      </c>
      <c r="F26" s="1">
        <v>45777.656099537038</v>
      </c>
      <c r="G26">
        <v>1</v>
      </c>
      <c r="H26">
        <v>0</v>
      </c>
      <c r="I26" t="s">
        <v>274</v>
      </c>
      <c r="J26" t="s">
        <v>32</v>
      </c>
      <c r="K26" t="s">
        <v>276</v>
      </c>
      <c r="L26" t="s">
        <v>630</v>
      </c>
      <c r="M26" t="s">
        <v>381</v>
      </c>
      <c r="N26" t="s">
        <v>399</v>
      </c>
      <c r="O26" s="4" t="s">
        <v>400</v>
      </c>
      <c r="P26" t="s">
        <v>401</v>
      </c>
      <c r="Q26" t="s">
        <v>402</v>
      </c>
      <c r="R26" t="s">
        <v>300</v>
      </c>
      <c r="S26" t="s">
        <v>413</v>
      </c>
      <c r="T26" t="s">
        <v>286</v>
      </c>
      <c r="U26" t="s">
        <v>287</v>
      </c>
      <c r="V26" t="s">
        <v>318</v>
      </c>
      <c r="W26" t="s">
        <v>319</v>
      </c>
      <c r="X26">
        <v>137</v>
      </c>
      <c r="Y26" t="s">
        <v>802</v>
      </c>
      <c r="Z26">
        <v>552.41899999999998</v>
      </c>
      <c r="AA26">
        <v>46.613999999999997</v>
      </c>
      <c r="AB26" t="s">
        <v>291</v>
      </c>
      <c r="AD26" t="s">
        <v>803</v>
      </c>
      <c r="AE26" t="s">
        <v>425</v>
      </c>
      <c r="AF26" t="s">
        <v>350</v>
      </c>
      <c r="AG26" t="s">
        <v>1307</v>
      </c>
      <c r="AH26" t="s">
        <v>804</v>
      </c>
      <c r="AI26" t="s">
        <v>805</v>
      </c>
      <c r="AJ26" t="s">
        <v>696</v>
      </c>
    </row>
    <row r="27" spans="1:36" x14ac:dyDescent="0.2">
      <c r="A27" t="s">
        <v>273</v>
      </c>
      <c r="B27" s="1">
        <v>45999.843472222223</v>
      </c>
      <c r="C27" t="s">
        <v>806</v>
      </c>
      <c r="D27" t="s">
        <v>807</v>
      </c>
      <c r="E27" t="s">
        <v>411</v>
      </c>
      <c r="F27" s="1">
        <v>45777.721180555556</v>
      </c>
      <c r="G27">
        <v>1</v>
      </c>
      <c r="H27">
        <v>0</v>
      </c>
      <c r="I27" t="s">
        <v>274</v>
      </c>
      <c r="J27" t="s">
        <v>32</v>
      </c>
      <c r="K27" t="s">
        <v>276</v>
      </c>
      <c r="L27" t="s">
        <v>630</v>
      </c>
      <c r="M27" t="s">
        <v>381</v>
      </c>
      <c r="N27" t="s">
        <v>389</v>
      </c>
      <c r="O27" t="s">
        <v>390</v>
      </c>
      <c r="P27" t="s">
        <v>403</v>
      </c>
      <c r="Q27" t="s">
        <v>404</v>
      </c>
      <c r="R27" t="s">
        <v>284</v>
      </c>
      <c r="S27" t="s">
        <v>413</v>
      </c>
      <c r="T27" t="s">
        <v>286</v>
      </c>
      <c r="U27" t="s">
        <v>287</v>
      </c>
      <c r="V27" t="s">
        <v>318</v>
      </c>
      <c r="W27" t="s">
        <v>319</v>
      </c>
      <c r="X27">
        <v>200</v>
      </c>
      <c r="Y27" t="s">
        <v>415</v>
      </c>
      <c r="Z27">
        <v>806.452</v>
      </c>
      <c r="AA27">
        <v>68.05</v>
      </c>
      <c r="AB27" t="s">
        <v>291</v>
      </c>
      <c r="AD27" t="s">
        <v>808</v>
      </c>
      <c r="AE27" t="s">
        <v>416</v>
      </c>
      <c r="AF27" t="s">
        <v>350</v>
      </c>
      <c r="AG27" t="s">
        <v>1307</v>
      </c>
      <c r="AH27" t="s">
        <v>809</v>
      </c>
      <c r="AI27" t="s">
        <v>810</v>
      </c>
      <c r="AJ27" t="s">
        <v>696</v>
      </c>
    </row>
    <row r="28" spans="1:36" x14ac:dyDescent="0.2">
      <c r="A28" t="s">
        <v>273</v>
      </c>
      <c r="B28" s="1">
        <v>45999.843472222223</v>
      </c>
      <c r="C28" t="s">
        <v>811</v>
      </c>
      <c r="D28" t="s">
        <v>812</v>
      </c>
      <c r="E28" t="s">
        <v>560</v>
      </c>
      <c r="F28" s="1">
        <v>45791.391446759262</v>
      </c>
      <c r="G28">
        <v>1</v>
      </c>
      <c r="H28">
        <v>0</v>
      </c>
      <c r="I28" t="s">
        <v>274</v>
      </c>
      <c r="J28" t="s">
        <v>32</v>
      </c>
      <c r="K28" t="s">
        <v>276</v>
      </c>
      <c r="L28" t="s">
        <v>630</v>
      </c>
      <c r="M28" t="s">
        <v>345</v>
      </c>
      <c r="N28" t="s">
        <v>392</v>
      </c>
      <c r="O28" t="s">
        <v>393</v>
      </c>
      <c r="P28" t="s">
        <v>398</v>
      </c>
      <c r="Q28" t="s">
        <v>395</v>
      </c>
      <c r="R28" t="s">
        <v>300</v>
      </c>
      <c r="S28" t="s">
        <v>413</v>
      </c>
      <c r="T28" t="s">
        <v>286</v>
      </c>
      <c r="U28" t="s">
        <v>287</v>
      </c>
      <c r="V28" t="s">
        <v>318</v>
      </c>
      <c r="W28" t="s">
        <v>319</v>
      </c>
      <c r="X28">
        <v>12</v>
      </c>
      <c r="Y28" t="s">
        <v>419</v>
      </c>
      <c r="Z28">
        <v>48.387</v>
      </c>
      <c r="AA28">
        <v>4.0830000000000002</v>
      </c>
      <c r="AB28" t="s">
        <v>291</v>
      </c>
      <c r="AD28" t="s">
        <v>699</v>
      </c>
      <c r="AE28" t="s">
        <v>416</v>
      </c>
      <c r="AF28" t="s">
        <v>350</v>
      </c>
      <c r="AG28" t="s">
        <v>1307</v>
      </c>
      <c r="AH28" t="s">
        <v>813</v>
      </c>
      <c r="AI28" t="s">
        <v>814</v>
      </c>
      <c r="AJ28" t="s">
        <v>696</v>
      </c>
    </row>
    <row r="29" spans="1:36" x14ac:dyDescent="0.2">
      <c r="A29" t="s">
        <v>273</v>
      </c>
      <c r="B29" s="1">
        <v>45999.843472222223</v>
      </c>
      <c r="C29" t="s">
        <v>815</v>
      </c>
      <c r="D29" t="s">
        <v>816</v>
      </c>
      <c r="E29" t="s">
        <v>817</v>
      </c>
      <c r="F29" s="1">
        <v>45798.451145833336</v>
      </c>
      <c r="G29">
        <v>1</v>
      </c>
      <c r="H29">
        <v>0</v>
      </c>
      <c r="I29" t="s">
        <v>274</v>
      </c>
      <c r="J29" t="s">
        <v>32</v>
      </c>
      <c r="K29" t="s">
        <v>276</v>
      </c>
      <c r="L29" t="s">
        <v>630</v>
      </c>
      <c r="M29" t="s">
        <v>345</v>
      </c>
      <c r="N29" t="s">
        <v>392</v>
      </c>
      <c r="O29" t="s">
        <v>393</v>
      </c>
      <c r="P29" t="s">
        <v>398</v>
      </c>
      <c r="Q29" t="s">
        <v>395</v>
      </c>
      <c r="R29" t="s">
        <v>300</v>
      </c>
      <c r="S29" t="s">
        <v>413</v>
      </c>
      <c r="T29" t="s">
        <v>286</v>
      </c>
      <c r="U29" t="s">
        <v>287</v>
      </c>
      <c r="V29" t="s">
        <v>318</v>
      </c>
      <c r="W29" t="s">
        <v>319</v>
      </c>
      <c r="X29">
        <v>12</v>
      </c>
      <c r="Y29" t="s">
        <v>419</v>
      </c>
      <c r="Z29">
        <v>48.387</v>
      </c>
      <c r="AA29">
        <v>4.0830000000000002</v>
      </c>
      <c r="AB29" t="s">
        <v>291</v>
      </c>
      <c r="AD29" t="s">
        <v>699</v>
      </c>
      <c r="AE29" t="s">
        <v>416</v>
      </c>
      <c r="AF29" t="s">
        <v>350</v>
      </c>
      <c r="AG29" t="s">
        <v>1307</v>
      </c>
      <c r="AH29" t="s">
        <v>818</v>
      </c>
      <c r="AI29" t="s">
        <v>819</v>
      </c>
      <c r="AJ29" t="s">
        <v>696</v>
      </c>
    </row>
    <row r="30" spans="1:36" x14ac:dyDescent="0.2">
      <c r="A30" t="s">
        <v>273</v>
      </c>
      <c r="B30" s="1">
        <v>45999.843472222223</v>
      </c>
      <c r="C30" t="s">
        <v>820</v>
      </c>
      <c r="D30" t="s">
        <v>821</v>
      </c>
      <c r="E30" t="s">
        <v>822</v>
      </c>
      <c r="F30" s="1">
        <v>45799.515949074077</v>
      </c>
      <c r="G30">
        <v>1</v>
      </c>
      <c r="H30">
        <v>0</v>
      </c>
      <c r="I30" t="s">
        <v>274</v>
      </c>
      <c r="J30" t="s">
        <v>32</v>
      </c>
      <c r="K30" t="s">
        <v>276</v>
      </c>
      <c r="L30" t="s">
        <v>630</v>
      </c>
      <c r="M30" t="s">
        <v>345</v>
      </c>
      <c r="N30" t="s">
        <v>355</v>
      </c>
      <c r="O30" t="s">
        <v>356</v>
      </c>
      <c r="P30" t="s">
        <v>357</v>
      </c>
      <c r="Q30" t="s">
        <v>358</v>
      </c>
      <c r="R30" t="s">
        <v>300</v>
      </c>
      <c r="S30" t="s">
        <v>413</v>
      </c>
      <c r="T30" t="s">
        <v>286</v>
      </c>
      <c r="U30" t="s">
        <v>287</v>
      </c>
      <c r="V30" t="s">
        <v>318</v>
      </c>
      <c r="W30" t="s">
        <v>319</v>
      </c>
      <c r="X30">
        <v>24</v>
      </c>
      <c r="Y30" t="s">
        <v>436</v>
      </c>
      <c r="Z30">
        <v>96.774000000000001</v>
      </c>
      <c r="AA30">
        <v>8.1660000000000004</v>
      </c>
      <c r="AB30" t="s">
        <v>291</v>
      </c>
      <c r="AD30" t="s">
        <v>703</v>
      </c>
      <c r="AE30" t="s">
        <v>418</v>
      </c>
      <c r="AF30" t="s">
        <v>350</v>
      </c>
      <c r="AG30" t="s">
        <v>1307</v>
      </c>
      <c r="AH30" t="s">
        <v>823</v>
      </c>
      <c r="AI30" t="s">
        <v>824</v>
      </c>
      <c r="AJ30" t="s">
        <v>696</v>
      </c>
    </row>
    <row r="31" spans="1:36" x14ac:dyDescent="0.2">
      <c r="A31" t="s">
        <v>273</v>
      </c>
      <c r="B31" s="1">
        <v>45999.843472222223</v>
      </c>
      <c r="C31" t="s">
        <v>688</v>
      </c>
      <c r="D31" t="s">
        <v>689</v>
      </c>
      <c r="E31" t="s">
        <v>690</v>
      </c>
      <c r="F31" s="1">
        <v>45807.456643518519</v>
      </c>
      <c r="G31">
        <v>1</v>
      </c>
      <c r="H31">
        <v>0</v>
      </c>
      <c r="I31" t="s">
        <v>274</v>
      </c>
      <c r="J31" t="s">
        <v>32</v>
      </c>
      <c r="K31" t="s">
        <v>276</v>
      </c>
      <c r="L31" t="s">
        <v>630</v>
      </c>
      <c r="M31" t="s">
        <v>381</v>
      </c>
      <c r="N31" t="s">
        <v>437</v>
      </c>
      <c r="O31" t="s">
        <v>438</v>
      </c>
      <c r="P31" t="s">
        <v>439</v>
      </c>
      <c r="Q31" t="s">
        <v>307</v>
      </c>
      <c r="R31" t="s">
        <v>284</v>
      </c>
      <c r="S31" t="s">
        <v>413</v>
      </c>
      <c r="T31" t="s">
        <v>286</v>
      </c>
      <c r="U31" t="s">
        <v>287</v>
      </c>
      <c r="V31" t="s">
        <v>318</v>
      </c>
      <c r="W31" t="s">
        <v>319</v>
      </c>
      <c r="X31">
        <v>11</v>
      </c>
      <c r="Y31" t="s">
        <v>825</v>
      </c>
      <c r="Z31">
        <v>44.354999999999997</v>
      </c>
      <c r="AA31">
        <v>3.7429999999999999</v>
      </c>
      <c r="AB31" t="s">
        <v>291</v>
      </c>
      <c r="AD31">
        <v>0</v>
      </c>
      <c r="AE31" t="s">
        <v>441</v>
      </c>
      <c r="AF31" t="s">
        <v>350</v>
      </c>
      <c r="AG31" t="s">
        <v>1307</v>
      </c>
      <c r="AH31" t="s">
        <v>691</v>
      </c>
      <c r="AI31" t="s">
        <v>826</v>
      </c>
      <c r="AJ31" t="s">
        <v>696</v>
      </c>
    </row>
    <row r="32" spans="1:36" x14ac:dyDescent="0.2">
      <c r="A32" t="s">
        <v>273</v>
      </c>
      <c r="B32" s="1">
        <v>45999.843472222223</v>
      </c>
      <c r="C32" t="s">
        <v>827</v>
      </c>
      <c r="D32" t="s">
        <v>828</v>
      </c>
      <c r="E32" t="s">
        <v>829</v>
      </c>
      <c r="F32" s="1">
        <v>45813.596273148149</v>
      </c>
      <c r="G32">
        <v>1</v>
      </c>
      <c r="H32">
        <v>0</v>
      </c>
      <c r="I32" t="s">
        <v>274</v>
      </c>
      <c r="J32" t="s">
        <v>32</v>
      </c>
      <c r="K32" t="s">
        <v>276</v>
      </c>
      <c r="L32" t="s">
        <v>630</v>
      </c>
      <c r="M32" t="s">
        <v>345</v>
      </c>
      <c r="N32" t="s">
        <v>355</v>
      </c>
      <c r="O32" t="s">
        <v>356</v>
      </c>
      <c r="P32" t="s">
        <v>357</v>
      </c>
      <c r="Q32" t="s">
        <v>358</v>
      </c>
      <c r="R32" t="s">
        <v>300</v>
      </c>
      <c r="S32" t="s">
        <v>413</v>
      </c>
      <c r="T32" t="s">
        <v>286</v>
      </c>
      <c r="U32" t="s">
        <v>287</v>
      </c>
      <c r="V32" t="s">
        <v>318</v>
      </c>
      <c r="W32" t="s">
        <v>319</v>
      </c>
      <c r="X32">
        <v>56</v>
      </c>
      <c r="Y32" t="s">
        <v>417</v>
      </c>
      <c r="Z32">
        <v>225.80600000000001</v>
      </c>
      <c r="AA32">
        <v>19.053999999999998</v>
      </c>
      <c r="AB32" t="s">
        <v>291</v>
      </c>
      <c r="AD32" t="s">
        <v>830</v>
      </c>
      <c r="AE32" t="s">
        <v>418</v>
      </c>
      <c r="AF32" t="s">
        <v>350</v>
      </c>
      <c r="AG32" t="s">
        <v>1307</v>
      </c>
      <c r="AH32" t="s">
        <v>831</v>
      </c>
      <c r="AI32" t="s">
        <v>832</v>
      </c>
      <c r="AJ32" t="s">
        <v>696</v>
      </c>
    </row>
    <row r="33" spans="1:36" x14ac:dyDescent="0.2">
      <c r="A33" t="s">
        <v>273</v>
      </c>
      <c r="B33" s="1">
        <v>45999.843472222223</v>
      </c>
      <c r="C33" t="s">
        <v>841</v>
      </c>
      <c r="D33" t="s">
        <v>842</v>
      </c>
      <c r="E33" t="s">
        <v>843</v>
      </c>
      <c r="F33" s="1">
        <v>45847.431620370371</v>
      </c>
      <c r="G33">
        <v>1</v>
      </c>
      <c r="H33">
        <v>0</v>
      </c>
      <c r="I33" t="s">
        <v>274</v>
      </c>
      <c r="J33" t="s">
        <v>32</v>
      </c>
      <c r="K33" t="s">
        <v>276</v>
      </c>
      <c r="L33" t="s">
        <v>630</v>
      </c>
      <c r="M33" t="s">
        <v>345</v>
      </c>
      <c r="N33" t="s">
        <v>420</v>
      </c>
      <c r="O33" t="s">
        <v>421</v>
      </c>
      <c r="P33" t="s">
        <v>422</v>
      </c>
      <c r="Q33" t="s">
        <v>423</v>
      </c>
      <c r="R33" t="s">
        <v>300</v>
      </c>
      <c r="S33" t="s">
        <v>413</v>
      </c>
      <c r="T33" t="s">
        <v>286</v>
      </c>
      <c r="U33" t="s">
        <v>287</v>
      </c>
      <c r="V33" t="s">
        <v>318</v>
      </c>
      <c r="W33" t="s">
        <v>319</v>
      </c>
      <c r="X33">
        <v>59</v>
      </c>
      <c r="Y33" t="s">
        <v>426</v>
      </c>
      <c r="Z33">
        <v>237.90299999999999</v>
      </c>
      <c r="AA33">
        <v>20.074999999999999</v>
      </c>
      <c r="AB33" t="s">
        <v>291</v>
      </c>
      <c r="AD33" t="s">
        <v>844</v>
      </c>
      <c r="AE33" t="s">
        <v>416</v>
      </c>
      <c r="AF33" t="s">
        <v>350</v>
      </c>
      <c r="AG33" t="s">
        <v>1314</v>
      </c>
      <c r="AH33" t="s">
        <v>845</v>
      </c>
      <c r="AI33" t="s">
        <v>846</v>
      </c>
      <c r="AJ33" t="s">
        <v>696</v>
      </c>
    </row>
    <row r="34" spans="1:36" x14ac:dyDescent="0.2">
      <c r="A34" t="s">
        <v>273</v>
      </c>
      <c r="B34" s="1">
        <v>45999.843472222223</v>
      </c>
      <c r="C34" t="s">
        <v>847</v>
      </c>
      <c r="D34" t="s">
        <v>848</v>
      </c>
      <c r="E34" t="s">
        <v>849</v>
      </c>
      <c r="F34" s="1">
        <v>45859.659641203703</v>
      </c>
      <c r="G34">
        <v>1</v>
      </c>
      <c r="H34">
        <v>0</v>
      </c>
      <c r="I34" t="s">
        <v>274</v>
      </c>
      <c r="J34" t="s">
        <v>32</v>
      </c>
      <c r="K34" t="s">
        <v>276</v>
      </c>
      <c r="L34" t="s">
        <v>630</v>
      </c>
      <c r="M34" t="s">
        <v>345</v>
      </c>
      <c r="N34" t="s">
        <v>355</v>
      </c>
      <c r="O34" t="s">
        <v>356</v>
      </c>
      <c r="P34" t="s">
        <v>357</v>
      </c>
      <c r="Q34" t="s">
        <v>358</v>
      </c>
      <c r="R34" t="s">
        <v>300</v>
      </c>
      <c r="S34" t="s">
        <v>413</v>
      </c>
      <c r="T34" t="s">
        <v>286</v>
      </c>
      <c r="U34" t="s">
        <v>287</v>
      </c>
      <c r="V34" t="s">
        <v>318</v>
      </c>
      <c r="W34" t="s">
        <v>319</v>
      </c>
      <c r="X34">
        <v>38</v>
      </c>
      <c r="Y34" t="s">
        <v>430</v>
      </c>
      <c r="Z34">
        <v>153.226</v>
      </c>
      <c r="AA34">
        <v>12.93</v>
      </c>
      <c r="AB34" t="s">
        <v>291</v>
      </c>
      <c r="AD34" t="s">
        <v>850</v>
      </c>
      <c r="AE34" t="s">
        <v>418</v>
      </c>
      <c r="AF34" t="s">
        <v>350</v>
      </c>
      <c r="AG34" t="s">
        <v>1314</v>
      </c>
      <c r="AH34" t="s">
        <v>851</v>
      </c>
      <c r="AI34" t="s">
        <v>852</v>
      </c>
      <c r="AJ34" t="s">
        <v>696</v>
      </c>
    </row>
    <row r="35" spans="1:36" x14ac:dyDescent="0.2">
      <c r="A35" t="s">
        <v>273</v>
      </c>
      <c r="B35" s="1">
        <v>45999.843472222223</v>
      </c>
      <c r="C35" t="s">
        <v>853</v>
      </c>
      <c r="D35" t="s">
        <v>854</v>
      </c>
      <c r="E35" t="s">
        <v>855</v>
      </c>
      <c r="F35" s="1">
        <v>45862.39607638889</v>
      </c>
      <c r="G35">
        <v>1</v>
      </c>
      <c r="H35">
        <v>0</v>
      </c>
      <c r="I35" t="s">
        <v>274</v>
      </c>
      <c r="J35" t="s">
        <v>32</v>
      </c>
      <c r="K35" t="s">
        <v>276</v>
      </c>
      <c r="L35" t="s">
        <v>630</v>
      </c>
      <c r="M35" t="s">
        <v>345</v>
      </c>
      <c r="N35" t="s">
        <v>392</v>
      </c>
      <c r="O35" t="s">
        <v>393</v>
      </c>
      <c r="P35" t="s">
        <v>398</v>
      </c>
      <c r="Q35" t="s">
        <v>395</v>
      </c>
      <c r="R35" t="s">
        <v>300</v>
      </c>
      <c r="S35" t="s">
        <v>413</v>
      </c>
      <c r="T35" t="s">
        <v>286</v>
      </c>
      <c r="U35" t="s">
        <v>287</v>
      </c>
      <c r="V35" t="s">
        <v>318</v>
      </c>
      <c r="W35" t="s">
        <v>319</v>
      </c>
      <c r="X35">
        <v>12</v>
      </c>
      <c r="Y35" t="s">
        <v>419</v>
      </c>
      <c r="Z35">
        <v>48.387</v>
      </c>
      <c r="AA35">
        <v>4.0830000000000002</v>
      </c>
      <c r="AB35" t="s">
        <v>291</v>
      </c>
      <c r="AD35" t="s">
        <v>699</v>
      </c>
      <c r="AE35" t="s">
        <v>416</v>
      </c>
      <c r="AF35" t="s">
        <v>350</v>
      </c>
      <c r="AG35" t="s">
        <v>1314</v>
      </c>
      <c r="AH35" t="s">
        <v>856</v>
      </c>
      <c r="AI35" t="s">
        <v>857</v>
      </c>
      <c r="AJ35" t="s">
        <v>696</v>
      </c>
    </row>
    <row r="36" spans="1:36" x14ac:dyDescent="0.2">
      <c r="A36" t="s">
        <v>273</v>
      </c>
      <c r="B36" s="1">
        <v>45999.843472222223</v>
      </c>
      <c r="C36" t="s">
        <v>858</v>
      </c>
      <c r="D36" t="s">
        <v>859</v>
      </c>
      <c r="E36" t="s">
        <v>860</v>
      </c>
      <c r="F36" s="1">
        <v>45863.425729166665</v>
      </c>
      <c r="G36">
        <v>1</v>
      </c>
      <c r="H36">
        <v>0</v>
      </c>
      <c r="I36" t="s">
        <v>274</v>
      </c>
      <c r="J36" t="s">
        <v>32</v>
      </c>
      <c r="K36" t="s">
        <v>276</v>
      </c>
      <c r="L36" t="s">
        <v>630</v>
      </c>
      <c r="M36" t="s">
        <v>381</v>
      </c>
      <c r="N36" t="s">
        <v>399</v>
      </c>
      <c r="O36" s="4" t="s">
        <v>400</v>
      </c>
      <c r="P36" t="s">
        <v>405</v>
      </c>
      <c r="Q36" t="s">
        <v>402</v>
      </c>
      <c r="R36" t="s">
        <v>300</v>
      </c>
      <c r="S36" t="s">
        <v>413</v>
      </c>
      <c r="T36" t="s">
        <v>286</v>
      </c>
      <c r="U36" t="s">
        <v>287</v>
      </c>
      <c r="V36" t="s">
        <v>318</v>
      </c>
      <c r="W36" t="s">
        <v>319</v>
      </c>
      <c r="X36">
        <v>96</v>
      </c>
      <c r="Y36" t="s">
        <v>427</v>
      </c>
      <c r="Z36">
        <v>387.09699999999998</v>
      </c>
      <c r="AA36">
        <v>32.664000000000001</v>
      </c>
      <c r="AB36" t="s">
        <v>291</v>
      </c>
      <c r="AD36" t="s">
        <v>861</v>
      </c>
      <c r="AE36" t="s">
        <v>425</v>
      </c>
      <c r="AF36" t="s">
        <v>350</v>
      </c>
      <c r="AG36" t="s">
        <v>1314</v>
      </c>
      <c r="AH36" t="s">
        <v>862</v>
      </c>
      <c r="AI36" t="s">
        <v>863</v>
      </c>
      <c r="AJ36" t="s">
        <v>696</v>
      </c>
    </row>
    <row r="37" spans="1:36" x14ac:dyDescent="0.2">
      <c r="A37" t="s">
        <v>273</v>
      </c>
      <c r="B37" s="1">
        <v>45999.843472222223</v>
      </c>
      <c r="C37" t="s">
        <v>864</v>
      </c>
      <c r="D37" t="s">
        <v>865</v>
      </c>
      <c r="E37" t="s">
        <v>380</v>
      </c>
      <c r="F37" s="1">
        <v>45873.424814814818</v>
      </c>
      <c r="G37">
        <v>1</v>
      </c>
      <c r="H37">
        <v>0</v>
      </c>
      <c r="I37" t="s">
        <v>274</v>
      </c>
      <c r="J37" t="s">
        <v>32</v>
      </c>
      <c r="K37" t="s">
        <v>276</v>
      </c>
      <c r="L37" t="s">
        <v>630</v>
      </c>
      <c r="M37" t="s">
        <v>345</v>
      </c>
      <c r="N37" t="s">
        <v>392</v>
      </c>
      <c r="O37" t="s">
        <v>393</v>
      </c>
      <c r="P37" t="s">
        <v>398</v>
      </c>
      <c r="Q37" t="s">
        <v>395</v>
      </c>
      <c r="R37" t="s">
        <v>300</v>
      </c>
      <c r="S37" t="s">
        <v>413</v>
      </c>
      <c r="T37" t="s">
        <v>286</v>
      </c>
      <c r="U37" t="s">
        <v>287</v>
      </c>
      <c r="V37" t="s">
        <v>318</v>
      </c>
      <c r="W37" t="s">
        <v>319</v>
      </c>
      <c r="X37">
        <v>11</v>
      </c>
      <c r="Y37" t="s">
        <v>429</v>
      </c>
      <c r="Z37">
        <v>44.354999999999997</v>
      </c>
      <c r="AA37">
        <v>3.7429999999999999</v>
      </c>
      <c r="AB37" t="s">
        <v>291</v>
      </c>
      <c r="AD37" t="s">
        <v>866</v>
      </c>
      <c r="AE37" t="s">
        <v>416</v>
      </c>
      <c r="AF37" t="s">
        <v>350</v>
      </c>
      <c r="AG37" t="s">
        <v>1314</v>
      </c>
      <c r="AH37" t="s">
        <v>867</v>
      </c>
      <c r="AI37" t="s">
        <v>868</v>
      </c>
      <c r="AJ37" t="s">
        <v>696</v>
      </c>
    </row>
    <row r="38" spans="1:36" x14ac:dyDescent="0.2">
      <c r="A38" t="s">
        <v>273</v>
      </c>
      <c r="B38" s="1">
        <v>45999.843472222223</v>
      </c>
      <c r="C38" t="s">
        <v>869</v>
      </c>
      <c r="D38" t="s">
        <v>870</v>
      </c>
      <c r="E38" t="s">
        <v>557</v>
      </c>
      <c r="F38" s="1">
        <v>45890.383981481478</v>
      </c>
      <c r="G38">
        <v>1</v>
      </c>
      <c r="H38">
        <v>0</v>
      </c>
      <c r="I38" t="s">
        <v>274</v>
      </c>
      <c r="J38" t="s">
        <v>32</v>
      </c>
      <c r="K38" t="s">
        <v>276</v>
      </c>
      <c r="L38" t="s">
        <v>630</v>
      </c>
      <c r="M38" t="s">
        <v>345</v>
      </c>
      <c r="N38" t="s">
        <v>392</v>
      </c>
      <c r="O38" t="s">
        <v>393</v>
      </c>
      <c r="P38" t="s">
        <v>398</v>
      </c>
      <c r="Q38" t="s">
        <v>395</v>
      </c>
      <c r="R38" t="s">
        <v>284</v>
      </c>
      <c r="S38" t="s">
        <v>413</v>
      </c>
      <c r="T38" t="s">
        <v>286</v>
      </c>
      <c r="U38" t="s">
        <v>287</v>
      </c>
      <c r="V38" t="s">
        <v>318</v>
      </c>
      <c r="W38" t="s">
        <v>319</v>
      </c>
      <c r="X38">
        <v>12</v>
      </c>
      <c r="Y38" t="s">
        <v>419</v>
      </c>
      <c r="Z38">
        <v>48.387</v>
      </c>
      <c r="AA38">
        <v>4.0830000000000002</v>
      </c>
      <c r="AB38" t="s">
        <v>291</v>
      </c>
      <c r="AD38" t="s">
        <v>699</v>
      </c>
      <c r="AE38" t="s">
        <v>416</v>
      </c>
      <c r="AF38" t="s">
        <v>350</v>
      </c>
      <c r="AG38" t="s">
        <v>1314</v>
      </c>
      <c r="AH38" t="s">
        <v>871</v>
      </c>
      <c r="AI38" t="s">
        <v>872</v>
      </c>
      <c r="AJ38" t="s">
        <v>696</v>
      </c>
    </row>
    <row r="39" spans="1:36" x14ac:dyDescent="0.2">
      <c r="A39" t="s">
        <v>273</v>
      </c>
      <c r="B39" s="1">
        <v>45999.843472222223</v>
      </c>
      <c r="C39" s="4" t="s">
        <v>873</v>
      </c>
      <c r="D39" t="s">
        <v>874</v>
      </c>
      <c r="E39" t="s">
        <v>875</v>
      </c>
      <c r="F39" s="1">
        <v>45891</v>
      </c>
      <c r="G39">
        <v>1</v>
      </c>
      <c r="H39">
        <v>0</v>
      </c>
      <c r="I39" t="s">
        <v>274</v>
      </c>
      <c r="J39" t="s">
        <v>32</v>
      </c>
      <c r="K39" t="s">
        <v>276</v>
      </c>
      <c r="L39" t="s">
        <v>630</v>
      </c>
      <c r="M39" t="s">
        <v>345</v>
      </c>
      <c r="N39" t="s">
        <v>420</v>
      </c>
      <c r="O39" t="s">
        <v>421</v>
      </c>
      <c r="P39" t="s">
        <v>422</v>
      </c>
      <c r="Q39" t="s">
        <v>423</v>
      </c>
      <c r="R39" t="s">
        <v>300</v>
      </c>
      <c r="S39" t="s">
        <v>413</v>
      </c>
      <c r="T39" t="s">
        <v>286</v>
      </c>
      <c r="U39" t="s">
        <v>287</v>
      </c>
      <c r="V39" t="s">
        <v>318</v>
      </c>
      <c r="W39" t="s">
        <v>319</v>
      </c>
      <c r="X39">
        <v>60</v>
      </c>
      <c r="Y39" t="s">
        <v>434</v>
      </c>
      <c r="Z39">
        <v>241.935</v>
      </c>
      <c r="AA39">
        <v>20.414999999999999</v>
      </c>
      <c r="AB39" t="s">
        <v>291</v>
      </c>
      <c r="AD39" t="s">
        <v>435</v>
      </c>
      <c r="AE39" t="s">
        <v>416</v>
      </c>
      <c r="AF39" t="s">
        <v>350</v>
      </c>
      <c r="AG39" t="s">
        <v>1317</v>
      </c>
      <c r="AH39" t="s">
        <v>876</v>
      </c>
      <c r="AI39" t="s">
        <v>877</v>
      </c>
      <c r="AJ39" t="s">
        <v>696</v>
      </c>
    </row>
    <row r="40" spans="1:36" x14ac:dyDescent="0.2">
      <c r="A40" t="s">
        <v>273</v>
      </c>
      <c r="B40" s="1">
        <v>45999.843472222223</v>
      </c>
      <c r="C40" t="s">
        <v>878</v>
      </c>
      <c r="D40" t="s">
        <v>879</v>
      </c>
      <c r="E40" t="s">
        <v>880</v>
      </c>
      <c r="F40" s="1">
        <v>45891.394004629627</v>
      </c>
      <c r="G40">
        <v>1</v>
      </c>
      <c r="H40">
        <v>0</v>
      </c>
      <c r="I40" t="s">
        <v>274</v>
      </c>
      <c r="J40" t="s">
        <v>32</v>
      </c>
      <c r="K40" t="s">
        <v>276</v>
      </c>
      <c r="L40" t="s">
        <v>630</v>
      </c>
      <c r="M40" t="s">
        <v>381</v>
      </c>
      <c r="N40" t="s">
        <v>399</v>
      </c>
      <c r="O40" s="4" t="s">
        <v>400</v>
      </c>
      <c r="P40" t="s">
        <v>405</v>
      </c>
      <c r="Q40" t="s">
        <v>402</v>
      </c>
      <c r="R40" t="s">
        <v>300</v>
      </c>
      <c r="S40" t="s">
        <v>413</v>
      </c>
      <c r="T40" t="s">
        <v>286</v>
      </c>
      <c r="U40" t="s">
        <v>287</v>
      </c>
      <c r="V40" t="s">
        <v>318</v>
      </c>
      <c r="W40" t="s">
        <v>319</v>
      </c>
      <c r="X40">
        <v>104</v>
      </c>
      <c r="Y40" t="s">
        <v>432</v>
      </c>
      <c r="Z40">
        <v>419.35500000000002</v>
      </c>
      <c r="AA40">
        <v>35.386000000000003</v>
      </c>
      <c r="AB40" t="s">
        <v>291</v>
      </c>
      <c r="AD40" t="s">
        <v>881</v>
      </c>
      <c r="AE40" t="s">
        <v>425</v>
      </c>
      <c r="AF40" t="s">
        <v>350</v>
      </c>
      <c r="AG40" t="s">
        <v>1317</v>
      </c>
      <c r="AH40" t="s">
        <v>882</v>
      </c>
      <c r="AI40" t="s">
        <v>883</v>
      </c>
      <c r="AJ40" t="s">
        <v>696</v>
      </c>
    </row>
    <row r="41" spans="1:36" x14ac:dyDescent="0.2">
      <c r="A41" t="s">
        <v>273</v>
      </c>
      <c r="B41" s="1">
        <v>45999.843472222223</v>
      </c>
      <c r="C41" t="s">
        <v>884</v>
      </c>
      <c r="D41" t="s">
        <v>885</v>
      </c>
      <c r="E41" t="s">
        <v>886</v>
      </c>
      <c r="F41" s="1">
        <v>45891.394907407404</v>
      </c>
      <c r="G41">
        <v>1</v>
      </c>
      <c r="H41">
        <v>0</v>
      </c>
      <c r="I41" t="s">
        <v>274</v>
      </c>
      <c r="J41" t="s">
        <v>32</v>
      </c>
      <c r="K41" t="s">
        <v>276</v>
      </c>
      <c r="L41" t="s">
        <v>630</v>
      </c>
      <c r="M41" t="s">
        <v>381</v>
      </c>
      <c r="N41" t="s">
        <v>399</v>
      </c>
      <c r="O41" s="4" t="s">
        <v>400</v>
      </c>
      <c r="P41" t="s">
        <v>405</v>
      </c>
      <c r="Q41" t="s">
        <v>402</v>
      </c>
      <c r="R41" t="s">
        <v>300</v>
      </c>
      <c r="S41" t="s">
        <v>413</v>
      </c>
      <c r="T41" t="s">
        <v>286</v>
      </c>
      <c r="U41" t="s">
        <v>287</v>
      </c>
      <c r="V41" t="s">
        <v>318</v>
      </c>
      <c r="W41" t="s">
        <v>319</v>
      </c>
      <c r="X41">
        <v>30</v>
      </c>
      <c r="Y41" t="s">
        <v>433</v>
      </c>
      <c r="Z41">
        <v>120.968</v>
      </c>
      <c r="AA41">
        <v>10.208</v>
      </c>
      <c r="AB41" t="s">
        <v>291</v>
      </c>
      <c r="AD41" t="s">
        <v>887</v>
      </c>
      <c r="AE41" t="s">
        <v>425</v>
      </c>
      <c r="AF41" t="s">
        <v>350</v>
      </c>
      <c r="AG41" t="s">
        <v>1317</v>
      </c>
      <c r="AH41" t="s">
        <v>888</v>
      </c>
      <c r="AI41" t="s">
        <v>889</v>
      </c>
      <c r="AJ41" t="s">
        <v>696</v>
      </c>
    </row>
    <row r="42" spans="1:36" x14ac:dyDescent="0.2">
      <c r="A42" t="s">
        <v>273</v>
      </c>
      <c r="B42" s="1">
        <v>45999.843472222223</v>
      </c>
      <c r="C42" t="s">
        <v>890</v>
      </c>
      <c r="D42" t="s">
        <v>891</v>
      </c>
      <c r="E42" t="s">
        <v>585</v>
      </c>
      <c r="F42" s="1">
        <v>45905.402974537035</v>
      </c>
      <c r="G42">
        <v>1</v>
      </c>
      <c r="H42">
        <v>0</v>
      </c>
      <c r="I42" t="s">
        <v>274</v>
      </c>
      <c r="J42" t="s">
        <v>32</v>
      </c>
      <c r="K42" t="s">
        <v>276</v>
      </c>
      <c r="L42" t="s">
        <v>630</v>
      </c>
      <c r="M42" t="s">
        <v>381</v>
      </c>
      <c r="N42" t="s">
        <v>399</v>
      </c>
      <c r="O42" s="4" t="s">
        <v>400</v>
      </c>
      <c r="P42" t="s">
        <v>405</v>
      </c>
      <c r="Q42" t="s">
        <v>402</v>
      </c>
      <c r="R42" t="s">
        <v>300</v>
      </c>
      <c r="S42" t="s">
        <v>413</v>
      </c>
      <c r="T42" t="s">
        <v>286</v>
      </c>
      <c r="U42" t="s">
        <v>287</v>
      </c>
      <c r="V42" t="s">
        <v>318</v>
      </c>
      <c r="W42" t="s">
        <v>319</v>
      </c>
      <c r="X42">
        <v>46</v>
      </c>
      <c r="Y42" t="s">
        <v>431</v>
      </c>
      <c r="Z42">
        <v>185.48400000000001</v>
      </c>
      <c r="AA42">
        <v>15.651999999999999</v>
      </c>
      <c r="AB42" t="s">
        <v>291</v>
      </c>
      <c r="AD42" t="s">
        <v>892</v>
      </c>
      <c r="AE42" t="s">
        <v>425</v>
      </c>
      <c r="AF42" t="s">
        <v>350</v>
      </c>
      <c r="AG42" t="s">
        <v>1317</v>
      </c>
      <c r="AH42" t="s">
        <v>893</v>
      </c>
      <c r="AI42" t="s">
        <v>883</v>
      </c>
      <c r="AJ42" t="s">
        <v>696</v>
      </c>
    </row>
    <row r="43" spans="1:36" x14ac:dyDescent="0.2">
      <c r="A43" t="s">
        <v>273</v>
      </c>
      <c r="B43" s="1">
        <v>45999.843472222223</v>
      </c>
      <c r="C43" t="s">
        <v>894</v>
      </c>
      <c r="D43" t="s">
        <v>895</v>
      </c>
      <c r="E43" t="s">
        <v>896</v>
      </c>
      <c r="F43" s="1">
        <v>45912.446087962962</v>
      </c>
      <c r="G43">
        <v>1</v>
      </c>
      <c r="H43">
        <v>0</v>
      </c>
      <c r="I43" t="s">
        <v>274</v>
      </c>
      <c r="J43" t="s">
        <v>32</v>
      </c>
      <c r="K43" t="s">
        <v>276</v>
      </c>
      <c r="L43" t="s">
        <v>630</v>
      </c>
      <c r="M43" t="s">
        <v>345</v>
      </c>
      <c r="N43" t="s">
        <v>355</v>
      </c>
      <c r="O43" t="s">
        <v>356</v>
      </c>
      <c r="P43" t="s">
        <v>357</v>
      </c>
      <c r="Q43" t="s">
        <v>358</v>
      </c>
      <c r="R43" t="s">
        <v>300</v>
      </c>
      <c r="S43" t="s">
        <v>413</v>
      </c>
      <c r="T43" t="s">
        <v>286</v>
      </c>
      <c r="U43" t="s">
        <v>287</v>
      </c>
      <c r="V43" t="s">
        <v>318</v>
      </c>
      <c r="W43" t="s">
        <v>319</v>
      </c>
      <c r="X43">
        <v>24</v>
      </c>
      <c r="Y43" t="s">
        <v>436</v>
      </c>
      <c r="Z43">
        <v>96.774000000000001</v>
      </c>
      <c r="AA43">
        <v>8.1660000000000004</v>
      </c>
      <c r="AB43" t="s">
        <v>291</v>
      </c>
      <c r="AD43" t="s">
        <v>703</v>
      </c>
      <c r="AE43" t="s">
        <v>418</v>
      </c>
      <c r="AF43" t="s">
        <v>350</v>
      </c>
      <c r="AG43" t="s">
        <v>1317</v>
      </c>
      <c r="AH43" t="s">
        <v>897</v>
      </c>
      <c r="AI43" t="s">
        <v>898</v>
      </c>
      <c r="AJ43" t="s">
        <v>696</v>
      </c>
    </row>
    <row r="44" spans="1:36" x14ac:dyDescent="0.2">
      <c r="A44" t="s">
        <v>273</v>
      </c>
      <c r="B44" s="1">
        <v>45999.843472222223</v>
      </c>
      <c r="C44" t="s">
        <v>899</v>
      </c>
      <c r="D44" t="s">
        <v>900</v>
      </c>
      <c r="E44" t="s">
        <v>901</v>
      </c>
      <c r="F44" s="1">
        <v>45917.469444444447</v>
      </c>
      <c r="G44">
        <v>1</v>
      </c>
      <c r="H44">
        <v>0</v>
      </c>
      <c r="I44" t="s">
        <v>274</v>
      </c>
      <c r="J44" t="s">
        <v>32</v>
      </c>
      <c r="K44" t="s">
        <v>276</v>
      </c>
      <c r="L44" t="s">
        <v>630</v>
      </c>
      <c r="M44" t="s">
        <v>345</v>
      </c>
      <c r="N44" t="s">
        <v>420</v>
      </c>
      <c r="O44" t="s">
        <v>421</v>
      </c>
      <c r="P44" t="s">
        <v>422</v>
      </c>
      <c r="Q44" t="s">
        <v>423</v>
      </c>
      <c r="R44" t="s">
        <v>300</v>
      </c>
      <c r="S44" t="s">
        <v>413</v>
      </c>
      <c r="T44" t="s">
        <v>286</v>
      </c>
      <c r="U44" t="s">
        <v>287</v>
      </c>
      <c r="V44" t="s">
        <v>318</v>
      </c>
      <c r="W44" t="s">
        <v>319</v>
      </c>
      <c r="X44">
        <v>96</v>
      </c>
      <c r="Y44" t="s">
        <v>447</v>
      </c>
      <c r="Z44">
        <v>387.09699999999998</v>
      </c>
      <c r="AA44">
        <v>32.664000000000001</v>
      </c>
      <c r="AB44" t="s">
        <v>291</v>
      </c>
      <c r="AD44" t="s">
        <v>902</v>
      </c>
      <c r="AE44" t="s">
        <v>416</v>
      </c>
      <c r="AF44" t="s">
        <v>350</v>
      </c>
      <c r="AG44" t="s">
        <v>1317</v>
      </c>
      <c r="AH44" t="s">
        <v>903</v>
      </c>
      <c r="AI44" t="s">
        <v>904</v>
      </c>
      <c r="AJ44" t="s">
        <v>696</v>
      </c>
    </row>
    <row r="45" spans="1:36" x14ac:dyDescent="0.2">
      <c r="A45" t="s">
        <v>273</v>
      </c>
      <c r="B45" s="1">
        <v>45999.843472222223</v>
      </c>
      <c r="C45" t="s">
        <v>905</v>
      </c>
      <c r="D45" t="s">
        <v>906</v>
      </c>
      <c r="E45" t="s">
        <v>907</v>
      </c>
      <c r="F45" s="1">
        <v>45919.46297453704</v>
      </c>
      <c r="G45">
        <v>1</v>
      </c>
      <c r="H45">
        <v>0</v>
      </c>
      <c r="I45" t="s">
        <v>274</v>
      </c>
      <c r="J45" t="s">
        <v>32</v>
      </c>
      <c r="K45" t="s">
        <v>276</v>
      </c>
      <c r="L45" t="s">
        <v>630</v>
      </c>
      <c r="M45" t="s">
        <v>345</v>
      </c>
      <c r="N45" t="s">
        <v>392</v>
      </c>
      <c r="O45" t="s">
        <v>393</v>
      </c>
      <c r="P45" t="s">
        <v>398</v>
      </c>
      <c r="Q45" t="s">
        <v>395</v>
      </c>
      <c r="R45" t="s">
        <v>284</v>
      </c>
      <c r="S45" t="s">
        <v>413</v>
      </c>
      <c r="T45" t="s">
        <v>286</v>
      </c>
      <c r="U45" t="s">
        <v>287</v>
      </c>
      <c r="V45" t="s">
        <v>318</v>
      </c>
      <c r="W45" t="s">
        <v>319</v>
      </c>
      <c r="X45">
        <v>12</v>
      </c>
      <c r="Y45" t="s">
        <v>419</v>
      </c>
      <c r="Z45">
        <v>48.387</v>
      </c>
      <c r="AA45">
        <v>4.0830000000000002</v>
      </c>
      <c r="AB45" t="s">
        <v>291</v>
      </c>
      <c r="AD45" t="s">
        <v>699</v>
      </c>
      <c r="AE45" t="s">
        <v>416</v>
      </c>
      <c r="AF45" t="s">
        <v>350</v>
      </c>
      <c r="AG45" t="s">
        <v>1323</v>
      </c>
      <c r="AH45" t="s">
        <v>908</v>
      </c>
      <c r="AI45" t="s">
        <v>909</v>
      </c>
      <c r="AJ45" t="s">
        <v>696</v>
      </c>
    </row>
    <row r="46" spans="1:36" x14ac:dyDescent="0.2">
      <c r="A46" t="s">
        <v>273</v>
      </c>
      <c r="B46" s="1">
        <v>45999.843472222223</v>
      </c>
      <c r="C46" t="s">
        <v>910</v>
      </c>
      <c r="D46" t="s">
        <v>911</v>
      </c>
      <c r="E46" t="s">
        <v>912</v>
      </c>
      <c r="F46" s="1">
        <v>45919.468449074076</v>
      </c>
      <c r="G46">
        <v>1</v>
      </c>
      <c r="H46">
        <v>0</v>
      </c>
      <c r="I46" t="s">
        <v>274</v>
      </c>
      <c r="J46" t="s">
        <v>32</v>
      </c>
      <c r="K46" t="s">
        <v>276</v>
      </c>
      <c r="L46" t="s">
        <v>630</v>
      </c>
      <c r="M46" t="s">
        <v>345</v>
      </c>
      <c r="N46" t="s">
        <v>392</v>
      </c>
      <c r="O46" t="s">
        <v>393</v>
      </c>
      <c r="P46" t="s">
        <v>398</v>
      </c>
      <c r="Q46" t="s">
        <v>395</v>
      </c>
      <c r="R46" t="s">
        <v>284</v>
      </c>
      <c r="S46" t="s">
        <v>413</v>
      </c>
      <c r="T46" t="s">
        <v>286</v>
      </c>
      <c r="U46" t="s">
        <v>287</v>
      </c>
      <c r="V46" t="s">
        <v>318</v>
      </c>
      <c r="W46" t="s">
        <v>319</v>
      </c>
      <c r="X46">
        <v>12</v>
      </c>
      <c r="Y46" t="s">
        <v>419</v>
      </c>
      <c r="Z46">
        <v>48.387</v>
      </c>
      <c r="AA46">
        <v>4.0830000000000002</v>
      </c>
      <c r="AB46" t="s">
        <v>291</v>
      </c>
      <c r="AD46" t="s">
        <v>699</v>
      </c>
      <c r="AE46" t="s">
        <v>416</v>
      </c>
      <c r="AF46" t="s">
        <v>350</v>
      </c>
      <c r="AG46" t="s">
        <v>1323</v>
      </c>
      <c r="AH46" t="s">
        <v>913</v>
      </c>
      <c r="AI46" t="s">
        <v>914</v>
      </c>
      <c r="AJ46" t="s">
        <v>696</v>
      </c>
    </row>
    <row r="47" spans="1:36" x14ac:dyDescent="0.2">
      <c r="A47" t="s">
        <v>273</v>
      </c>
      <c r="B47" s="1">
        <v>45999.843472222223</v>
      </c>
      <c r="C47" t="s">
        <v>915</v>
      </c>
      <c r="D47" t="s">
        <v>916</v>
      </c>
      <c r="E47" t="s">
        <v>917</v>
      </c>
      <c r="F47" s="1">
        <v>45923.398379629631</v>
      </c>
      <c r="G47">
        <v>1</v>
      </c>
      <c r="H47">
        <v>0</v>
      </c>
      <c r="I47" t="s">
        <v>274</v>
      </c>
      <c r="J47" t="s">
        <v>32</v>
      </c>
      <c r="K47" t="s">
        <v>276</v>
      </c>
      <c r="L47" t="s">
        <v>630</v>
      </c>
      <c r="M47" t="s">
        <v>381</v>
      </c>
      <c r="N47" t="s">
        <v>442</v>
      </c>
      <c r="O47" t="s">
        <v>443</v>
      </c>
      <c r="P47" t="s">
        <v>444</v>
      </c>
      <c r="Q47" t="s">
        <v>445</v>
      </c>
      <c r="R47" t="s">
        <v>284</v>
      </c>
      <c r="S47" t="s">
        <v>413</v>
      </c>
      <c r="T47" t="s">
        <v>286</v>
      </c>
      <c r="U47" t="s">
        <v>287</v>
      </c>
      <c r="V47" t="s">
        <v>318</v>
      </c>
      <c r="W47" t="s">
        <v>319</v>
      </c>
      <c r="X47">
        <v>50</v>
      </c>
      <c r="Y47" t="s">
        <v>446</v>
      </c>
      <c r="Z47">
        <v>201.613</v>
      </c>
      <c r="AA47">
        <v>17.013000000000002</v>
      </c>
      <c r="AB47" t="s">
        <v>291</v>
      </c>
      <c r="AD47" t="s">
        <v>918</v>
      </c>
      <c r="AE47" t="s">
        <v>418</v>
      </c>
      <c r="AF47" t="s">
        <v>350</v>
      </c>
      <c r="AG47" t="s">
        <v>1323</v>
      </c>
      <c r="AH47" t="s">
        <v>919</v>
      </c>
      <c r="AI47" t="s">
        <v>920</v>
      </c>
      <c r="AJ47" t="s">
        <v>696</v>
      </c>
    </row>
    <row r="48" spans="1:36" x14ac:dyDescent="0.2">
      <c r="A48" t="s">
        <v>273</v>
      </c>
      <c r="B48" s="1">
        <v>45999.843472222223</v>
      </c>
      <c r="C48" t="s">
        <v>921</v>
      </c>
      <c r="D48" t="s">
        <v>922</v>
      </c>
      <c r="E48" t="s">
        <v>923</v>
      </c>
      <c r="F48" s="1">
        <v>45924.403587962966</v>
      </c>
      <c r="G48">
        <v>1</v>
      </c>
      <c r="H48">
        <v>0</v>
      </c>
      <c r="I48" t="s">
        <v>274</v>
      </c>
      <c r="J48" t="s">
        <v>32</v>
      </c>
      <c r="K48" t="s">
        <v>276</v>
      </c>
      <c r="L48" t="s">
        <v>630</v>
      </c>
      <c r="M48" t="s">
        <v>345</v>
      </c>
      <c r="N48" t="s">
        <v>420</v>
      </c>
      <c r="O48" t="s">
        <v>421</v>
      </c>
      <c r="P48" t="s">
        <v>422</v>
      </c>
      <c r="Q48" t="s">
        <v>423</v>
      </c>
      <c r="R48" t="s">
        <v>300</v>
      </c>
      <c r="S48" t="s">
        <v>413</v>
      </c>
      <c r="T48" t="s">
        <v>286</v>
      </c>
      <c r="U48" t="s">
        <v>287</v>
      </c>
      <c r="V48" t="s">
        <v>318</v>
      </c>
      <c r="W48" t="s">
        <v>319</v>
      </c>
      <c r="X48">
        <v>10</v>
      </c>
      <c r="Y48" t="s">
        <v>435</v>
      </c>
      <c r="Z48">
        <v>40.323</v>
      </c>
      <c r="AA48">
        <v>3.403</v>
      </c>
      <c r="AB48" t="s">
        <v>291</v>
      </c>
      <c r="AD48" t="s">
        <v>924</v>
      </c>
      <c r="AE48" t="s">
        <v>416</v>
      </c>
      <c r="AF48" t="s">
        <v>350</v>
      </c>
      <c r="AG48" t="s">
        <v>1323</v>
      </c>
      <c r="AH48" t="s">
        <v>925</v>
      </c>
      <c r="AI48" t="s">
        <v>877</v>
      </c>
      <c r="AJ48" t="s">
        <v>696</v>
      </c>
    </row>
    <row r="49" spans="1:36" x14ac:dyDescent="0.2">
      <c r="A49" t="s">
        <v>273</v>
      </c>
      <c r="B49" s="1">
        <v>45999.843472222223</v>
      </c>
      <c r="C49" t="s">
        <v>926</v>
      </c>
      <c r="D49" t="s">
        <v>927</v>
      </c>
      <c r="E49" t="s">
        <v>928</v>
      </c>
      <c r="F49" s="1">
        <v>45929.400937500002</v>
      </c>
      <c r="G49">
        <v>1</v>
      </c>
      <c r="H49">
        <v>0</v>
      </c>
      <c r="I49" t="s">
        <v>274</v>
      </c>
      <c r="J49" t="s">
        <v>32</v>
      </c>
      <c r="K49" t="s">
        <v>276</v>
      </c>
      <c r="L49" t="s">
        <v>630</v>
      </c>
      <c r="M49" t="s">
        <v>381</v>
      </c>
      <c r="N49" t="s">
        <v>437</v>
      </c>
      <c r="O49" t="s">
        <v>438</v>
      </c>
      <c r="P49" t="s">
        <v>439</v>
      </c>
      <c r="Q49" t="s">
        <v>283</v>
      </c>
      <c r="R49" t="s">
        <v>284</v>
      </c>
      <c r="S49" t="s">
        <v>413</v>
      </c>
      <c r="T49" t="s">
        <v>286</v>
      </c>
      <c r="U49" t="s">
        <v>287</v>
      </c>
      <c r="V49" t="s">
        <v>318</v>
      </c>
      <c r="W49" t="s">
        <v>319</v>
      </c>
      <c r="X49">
        <v>12</v>
      </c>
      <c r="Y49" t="s">
        <v>440</v>
      </c>
      <c r="Z49">
        <v>48.387</v>
      </c>
      <c r="AA49">
        <v>4.0830000000000002</v>
      </c>
      <c r="AB49" t="s">
        <v>291</v>
      </c>
      <c r="AD49">
        <v>0</v>
      </c>
      <c r="AE49" t="s">
        <v>441</v>
      </c>
      <c r="AF49" t="s">
        <v>350</v>
      </c>
      <c r="AG49" t="s">
        <v>1323</v>
      </c>
      <c r="AH49" t="s">
        <v>929</v>
      </c>
      <c r="AI49" t="s">
        <v>930</v>
      </c>
      <c r="AJ49" t="s">
        <v>696</v>
      </c>
    </row>
    <row r="50" spans="1:36" x14ac:dyDescent="0.2">
      <c r="A50" t="s">
        <v>273</v>
      </c>
      <c r="B50" s="1">
        <v>45999.843472222223</v>
      </c>
      <c r="C50" t="s">
        <v>931</v>
      </c>
      <c r="D50" t="s">
        <v>932</v>
      </c>
      <c r="E50" t="s">
        <v>933</v>
      </c>
      <c r="F50" s="1">
        <v>45940.441099537034</v>
      </c>
      <c r="G50">
        <v>1</v>
      </c>
      <c r="H50">
        <v>0</v>
      </c>
      <c r="I50" t="s">
        <v>274</v>
      </c>
      <c r="J50" t="s">
        <v>32</v>
      </c>
      <c r="K50" t="s">
        <v>276</v>
      </c>
      <c r="L50" t="s">
        <v>630</v>
      </c>
      <c r="M50" t="s">
        <v>345</v>
      </c>
      <c r="N50" t="s">
        <v>355</v>
      </c>
      <c r="O50" t="s">
        <v>356</v>
      </c>
      <c r="P50" t="s">
        <v>357</v>
      </c>
      <c r="Q50" t="s">
        <v>358</v>
      </c>
      <c r="R50" t="s">
        <v>300</v>
      </c>
      <c r="S50" t="s">
        <v>413</v>
      </c>
      <c r="T50" t="s">
        <v>286</v>
      </c>
      <c r="U50" t="s">
        <v>287</v>
      </c>
      <c r="V50" t="s">
        <v>318</v>
      </c>
      <c r="W50" t="s">
        <v>319</v>
      </c>
      <c r="X50">
        <v>24</v>
      </c>
      <c r="Y50" t="s">
        <v>436</v>
      </c>
      <c r="Z50">
        <v>96.774000000000001</v>
      </c>
      <c r="AA50">
        <v>8.1660000000000004</v>
      </c>
      <c r="AB50" t="s">
        <v>291</v>
      </c>
      <c r="AC50" t="s">
        <v>349</v>
      </c>
      <c r="AD50" t="s">
        <v>703</v>
      </c>
      <c r="AE50" t="s">
        <v>418</v>
      </c>
      <c r="AF50" t="s">
        <v>350</v>
      </c>
      <c r="AG50" t="s">
        <v>1323</v>
      </c>
      <c r="AH50" t="s">
        <v>934</v>
      </c>
      <c r="AI50" t="s">
        <v>935</v>
      </c>
      <c r="AJ50" t="s">
        <v>696</v>
      </c>
    </row>
    <row r="51" spans="1:36" x14ac:dyDescent="0.2">
      <c r="A51" t="s">
        <v>273</v>
      </c>
      <c r="B51" s="1">
        <v>45999.843472222223</v>
      </c>
      <c r="C51" t="s">
        <v>936</v>
      </c>
      <c r="D51" t="s">
        <v>937</v>
      </c>
      <c r="E51" t="s">
        <v>938</v>
      </c>
      <c r="F51" s="1">
        <v>45940.450810185182</v>
      </c>
      <c r="G51">
        <v>1</v>
      </c>
      <c r="H51">
        <v>0</v>
      </c>
      <c r="I51" t="s">
        <v>274</v>
      </c>
      <c r="J51" t="s">
        <v>32</v>
      </c>
      <c r="K51" t="s">
        <v>276</v>
      </c>
      <c r="L51" t="s">
        <v>630</v>
      </c>
      <c r="M51" t="s">
        <v>345</v>
      </c>
      <c r="N51" t="s">
        <v>355</v>
      </c>
      <c r="O51" t="s">
        <v>356</v>
      </c>
      <c r="P51" t="s">
        <v>357</v>
      </c>
      <c r="Q51" t="s">
        <v>358</v>
      </c>
      <c r="R51" t="s">
        <v>300</v>
      </c>
      <c r="S51" t="s">
        <v>413</v>
      </c>
      <c r="T51" t="s">
        <v>286</v>
      </c>
      <c r="U51" t="s">
        <v>287</v>
      </c>
      <c r="V51" t="s">
        <v>318</v>
      </c>
      <c r="W51" t="s">
        <v>319</v>
      </c>
      <c r="X51">
        <v>12</v>
      </c>
      <c r="Y51" t="s">
        <v>448</v>
      </c>
      <c r="Z51">
        <v>48.387</v>
      </c>
      <c r="AA51">
        <v>4.0830000000000002</v>
      </c>
      <c r="AB51" t="s">
        <v>291</v>
      </c>
      <c r="AC51" t="s">
        <v>349</v>
      </c>
      <c r="AD51" t="s">
        <v>697</v>
      </c>
      <c r="AE51" t="s">
        <v>418</v>
      </c>
      <c r="AF51" t="s">
        <v>350</v>
      </c>
      <c r="AG51" t="s">
        <v>1323</v>
      </c>
      <c r="AH51" t="s">
        <v>939</v>
      </c>
      <c r="AI51" t="s">
        <v>940</v>
      </c>
      <c r="AJ51" t="s">
        <v>696</v>
      </c>
    </row>
    <row r="52" spans="1:36" x14ac:dyDescent="0.2">
      <c r="A52" t="s">
        <v>273</v>
      </c>
      <c r="B52" s="1">
        <v>45999.843472222223</v>
      </c>
      <c r="C52" t="s">
        <v>941</v>
      </c>
      <c r="D52" t="s">
        <v>942</v>
      </c>
      <c r="E52" t="s">
        <v>943</v>
      </c>
      <c r="F52" s="1">
        <v>45940.456331018519</v>
      </c>
      <c r="G52">
        <v>1</v>
      </c>
      <c r="H52">
        <v>0</v>
      </c>
      <c r="I52" t="s">
        <v>274</v>
      </c>
      <c r="J52" t="s">
        <v>32</v>
      </c>
      <c r="K52" t="s">
        <v>276</v>
      </c>
      <c r="L52" t="s">
        <v>630</v>
      </c>
      <c r="M52" t="s">
        <v>345</v>
      </c>
      <c r="N52" t="s">
        <v>355</v>
      </c>
      <c r="O52" t="s">
        <v>356</v>
      </c>
      <c r="P52" t="s">
        <v>357</v>
      </c>
      <c r="Q52" t="s">
        <v>358</v>
      </c>
      <c r="R52" t="s">
        <v>300</v>
      </c>
      <c r="S52" t="s">
        <v>413</v>
      </c>
      <c r="T52" t="s">
        <v>286</v>
      </c>
      <c r="U52" t="s">
        <v>287</v>
      </c>
      <c r="V52" t="s">
        <v>318</v>
      </c>
      <c r="W52" t="s">
        <v>319</v>
      </c>
      <c r="X52">
        <v>36</v>
      </c>
      <c r="Y52" t="s">
        <v>449</v>
      </c>
      <c r="Z52">
        <v>145.161</v>
      </c>
      <c r="AA52">
        <v>12.249000000000001</v>
      </c>
      <c r="AB52" t="s">
        <v>291</v>
      </c>
      <c r="AC52" t="s">
        <v>349</v>
      </c>
      <c r="AD52" t="s">
        <v>746</v>
      </c>
      <c r="AE52" t="s">
        <v>418</v>
      </c>
      <c r="AF52" t="s">
        <v>350</v>
      </c>
      <c r="AG52" t="s">
        <v>1323</v>
      </c>
      <c r="AH52" t="s">
        <v>944</v>
      </c>
      <c r="AI52" t="s">
        <v>945</v>
      </c>
      <c r="AJ52" t="s">
        <v>696</v>
      </c>
    </row>
    <row r="53" spans="1:36" x14ac:dyDescent="0.2">
      <c r="A53" t="s">
        <v>273</v>
      </c>
      <c r="B53" s="1">
        <v>45999.843472222223</v>
      </c>
      <c r="C53" t="s">
        <v>950</v>
      </c>
      <c r="D53" t="s">
        <v>951</v>
      </c>
      <c r="E53" t="s">
        <v>952</v>
      </c>
      <c r="F53" s="1">
        <v>45978.460358796299</v>
      </c>
      <c r="G53">
        <v>1</v>
      </c>
      <c r="H53">
        <v>0</v>
      </c>
      <c r="I53" t="s">
        <v>274</v>
      </c>
      <c r="J53" t="s">
        <v>32</v>
      </c>
      <c r="K53" t="s">
        <v>276</v>
      </c>
      <c r="L53" t="s">
        <v>630</v>
      </c>
      <c r="M53" t="s">
        <v>345</v>
      </c>
      <c r="N53" t="s">
        <v>355</v>
      </c>
      <c r="O53" t="s">
        <v>356</v>
      </c>
      <c r="P53" t="s">
        <v>357</v>
      </c>
      <c r="Q53" t="s">
        <v>358</v>
      </c>
      <c r="R53" t="s">
        <v>300</v>
      </c>
      <c r="S53" t="s">
        <v>413</v>
      </c>
      <c r="T53" t="s">
        <v>286</v>
      </c>
      <c r="U53" t="s">
        <v>287</v>
      </c>
      <c r="V53" t="s">
        <v>318</v>
      </c>
      <c r="W53" t="s">
        <v>319</v>
      </c>
      <c r="X53">
        <v>24</v>
      </c>
      <c r="Y53" t="s">
        <v>436</v>
      </c>
      <c r="Z53">
        <v>96.774000000000001</v>
      </c>
      <c r="AA53">
        <v>8.1660000000000004</v>
      </c>
      <c r="AB53" t="s">
        <v>291</v>
      </c>
      <c r="AC53" t="s">
        <v>349</v>
      </c>
      <c r="AD53" t="s">
        <v>703</v>
      </c>
      <c r="AE53" t="s">
        <v>418</v>
      </c>
      <c r="AF53" t="s">
        <v>350</v>
      </c>
      <c r="AG53" t="s">
        <v>1329</v>
      </c>
      <c r="AH53" t="s">
        <v>953</v>
      </c>
      <c r="AI53" t="s">
        <v>954</v>
      </c>
      <c r="AJ53" t="s">
        <v>696</v>
      </c>
    </row>
    <row r="54" spans="1:36" x14ac:dyDescent="0.2">
      <c r="A54" t="s">
        <v>273</v>
      </c>
      <c r="B54" s="1">
        <v>45999.843472222223</v>
      </c>
      <c r="C54" t="s">
        <v>955</v>
      </c>
      <c r="D54" t="s">
        <v>956</v>
      </c>
      <c r="E54" t="s">
        <v>957</v>
      </c>
      <c r="F54" s="1">
        <v>45982</v>
      </c>
      <c r="G54">
        <v>1</v>
      </c>
      <c r="H54">
        <v>0</v>
      </c>
      <c r="I54" t="s">
        <v>274</v>
      </c>
      <c r="J54" t="s">
        <v>32</v>
      </c>
      <c r="K54" t="s">
        <v>276</v>
      </c>
      <c r="L54" t="s">
        <v>630</v>
      </c>
      <c r="M54" t="s">
        <v>381</v>
      </c>
      <c r="N54" t="s">
        <v>399</v>
      </c>
      <c r="O54" s="4" t="s">
        <v>400</v>
      </c>
      <c r="P54" t="s">
        <v>405</v>
      </c>
      <c r="Q54" t="s">
        <v>402</v>
      </c>
      <c r="R54" t="s">
        <v>300</v>
      </c>
      <c r="S54" t="s">
        <v>413</v>
      </c>
      <c r="T54" t="s">
        <v>286</v>
      </c>
      <c r="U54" t="s">
        <v>287</v>
      </c>
      <c r="V54" t="s">
        <v>318</v>
      </c>
      <c r="W54" t="s">
        <v>319</v>
      </c>
      <c r="X54">
        <v>4</v>
      </c>
      <c r="Y54" t="s">
        <v>428</v>
      </c>
      <c r="Z54">
        <v>16.129000000000001</v>
      </c>
      <c r="AA54">
        <v>1.361</v>
      </c>
      <c r="AB54" t="s">
        <v>291</v>
      </c>
      <c r="AD54">
        <v>863.33</v>
      </c>
      <c r="AE54" t="s">
        <v>425</v>
      </c>
      <c r="AF54" t="s">
        <v>350</v>
      </c>
      <c r="AG54" t="s">
        <v>1329</v>
      </c>
      <c r="AH54" t="s">
        <v>958</v>
      </c>
      <c r="AI54" t="s">
        <v>863</v>
      </c>
      <c r="AJ54" t="s">
        <v>696</v>
      </c>
    </row>
    <row r="55" spans="1:36" x14ac:dyDescent="0.2">
      <c r="A55" t="s">
        <v>273</v>
      </c>
      <c r="B55" s="1">
        <v>45999.843472222223</v>
      </c>
      <c r="C55" t="s">
        <v>959</v>
      </c>
      <c r="D55" t="s">
        <v>960</v>
      </c>
      <c r="E55" t="s">
        <v>961</v>
      </c>
      <c r="F55" s="1">
        <v>45986.682592592595</v>
      </c>
      <c r="G55">
        <v>1</v>
      </c>
      <c r="H55">
        <v>0</v>
      </c>
      <c r="I55" t="s">
        <v>274</v>
      </c>
      <c r="J55" t="s">
        <v>32</v>
      </c>
      <c r="K55" t="s">
        <v>276</v>
      </c>
      <c r="L55" t="s">
        <v>630</v>
      </c>
      <c r="M55" t="s">
        <v>381</v>
      </c>
      <c r="N55" t="s">
        <v>389</v>
      </c>
      <c r="O55" t="s">
        <v>390</v>
      </c>
      <c r="P55" t="s">
        <v>403</v>
      </c>
      <c r="Q55" t="s">
        <v>404</v>
      </c>
      <c r="R55" t="s">
        <v>284</v>
      </c>
      <c r="S55" t="s">
        <v>413</v>
      </c>
      <c r="T55" t="s">
        <v>286</v>
      </c>
      <c r="U55" t="s">
        <v>287</v>
      </c>
      <c r="V55" t="s">
        <v>318</v>
      </c>
      <c r="W55" t="s">
        <v>319</v>
      </c>
      <c r="X55">
        <v>12</v>
      </c>
      <c r="Y55" t="s">
        <v>419</v>
      </c>
      <c r="Z55">
        <v>48.387</v>
      </c>
      <c r="AA55">
        <v>4.0830000000000002</v>
      </c>
      <c r="AB55" t="s">
        <v>291</v>
      </c>
      <c r="AC55" t="s">
        <v>293</v>
      </c>
      <c r="AD55" t="s">
        <v>699</v>
      </c>
      <c r="AE55" t="s">
        <v>416</v>
      </c>
      <c r="AF55" t="s">
        <v>350</v>
      </c>
      <c r="AG55" t="s">
        <v>1329</v>
      </c>
      <c r="AH55" t="s">
        <v>962</v>
      </c>
      <c r="AI55" t="s">
        <v>698</v>
      </c>
      <c r="AJ55" t="s">
        <v>696</v>
      </c>
    </row>
    <row r="56" spans="1:36" x14ac:dyDescent="0.2">
      <c r="A56" t="s">
        <v>273</v>
      </c>
      <c r="B56" s="1">
        <v>45999.843472222223</v>
      </c>
      <c r="C56" t="s">
        <v>963</v>
      </c>
      <c r="D56" t="s">
        <v>964</v>
      </c>
      <c r="E56" t="s">
        <v>965</v>
      </c>
      <c r="F56" s="1">
        <v>45988.595578703702</v>
      </c>
      <c r="G56">
        <v>1</v>
      </c>
      <c r="H56">
        <v>0</v>
      </c>
      <c r="I56" t="s">
        <v>274</v>
      </c>
      <c r="J56" t="s">
        <v>32</v>
      </c>
      <c r="K56" t="s">
        <v>276</v>
      </c>
      <c r="L56" t="s">
        <v>630</v>
      </c>
      <c r="M56" t="s">
        <v>554</v>
      </c>
      <c r="N56" t="s">
        <v>420</v>
      </c>
      <c r="O56" t="s">
        <v>421</v>
      </c>
      <c r="P56" s="4" t="s">
        <v>450</v>
      </c>
      <c r="Q56" t="s">
        <v>423</v>
      </c>
      <c r="R56" t="s">
        <v>300</v>
      </c>
      <c r="S56" t="s">
        <v>413</v>
      </c>
      <c r="T56" t="s">
        <v>286</v>
      </c>
      <c r="U56" t="s">
        <v>287</v>
      </c>
      <c r="V56" t="s">
        <v>318</v>
      </c>
      <c r="W56" t="s">
        <v>319</v>
      </c>
      <c r="X56">
        <v>69</v>
      </c>
      <c r="Y56" t="s">
        <v>451</v>
      </c>
      <c r="Z56">
        <v>278.226</v>
      </c>
      <c r="AA56">
        <v>23.477</v>
      </c>
      <c r="AB56" t="s">
        <v>291</v>
      </c>
      <c r="AC56" t="s">
        <v>293</v>
      </c>
      <c r="AD56" t="s">
        <v>966</v>
      </c>
      <c r="AE56" t="s">
        <v>416</v>
      </c>
      <c r="AF56" t="s">
        <v>350</v>
      </c>
      <c r="AG56" t="s">
        <v>1329</v>
      </c>
      <c r="AH56" t="s">
        <v>967</v>
      </c>
      <c r="AI56" t="s">
        <v>968</v>
      </c>
      <c r="AJ56" t="s">
        <v>696</v>
      </c>
    </row>
    <row r="57" spans="1:36" x14ac:dyDescent="0.2">
      <c r="A57" t="s">
        <v>273</v>
      </c>
      <c r="B57" s="1">
        <v>45999.843472222223</v>
      </c>
      <c r="C57" t="s">
        <v>969</v>
      </c>
      <c r="D57" t="s">
        <v>970</v>
      </c>
      <c r="E57" t="s">
        <v>971</v>
      </c>
      <c r="F57" s="1">
        <v>45989.606342592589</v>
      </c>
      <c r="G57">
        <v>1</v>
      </c>
      <c r="H57">
        <v>0</v>
      </c>
      <c r="I57" t="s">
        <v>274</v>
      </c>
      <c r="J57" t="s">
        <v>32</v>
      </c>
      <c r="K57" t="s">
        <v>276</v>
      </c>
      <c r="L57" t="s">
        <v>630</v>
      </c>
      <c r="M57" t="s">
        <v>381</v>
      </c>
      <c r="N57" t="s">
        <v>399</v>
      </c>
      <c r="O57" s="4" t="s">
        <v>400</v>
      </c>
      <c r="P57" t="s">
        <v>405</v>
      </c>
      <c r="Q57" t="s">
        <v>402</v>
      </c>
      <c r="R57" t="s">
        <v>300</v>
      </c>
      <c r="S57" t="s">
        <v>413</v>
      </c>
      <c r="T57" t="s">
        <v>286</v>
      </c>
      <c r="U57" t="s">
        <v>287</v>
      </c>
      <c r="V57" t="s">
        <v>318</v>
      </c>
      <c r="W57" t="s">
        <v>319</v>
      </c>
      <c r="X57">
        <v>120</v>
      </c>
      <c r="Y57" t="s">
        <v>424</v>
      </c>
      <c r="Z57">
        <v>483.87099999999998</v>
      </c>
      <c r="AA57">
        <v>40.83</v>
      </c>
      <c r="AB57" t="s">
        <v>291</v>
      </c>
      <c r="AD57" t="s">
        <v>833</v>
      </c>
      <c r="AE57" t="s">
        <v>425</v>
      </c>
      <c r="AF57" t="s">
        <v>350</v>
      </c>
      <c r="AG57" t="s">
        <v>1329</v>
      </c>
      <c r="AH57" t="s">
        <v>972</v>
      </c>
      <c r="AI57" t="s">
        <v>889</v>
      </c>
      <c r="AJ57" t="s">
        <v>696</v>
      </c>
    </row>
    <row r="58" spans="1:36" x14ac:dyDescent="0.2">
      <c r="A58" t="s">
        <v>273</v>
      </c>
      <c r="B58" s="1">
        <v>45999.843472222223</v>
      </c>
      <c r="C58" t="s">
        <v>973</v>
      </c>
      <c r="D58" t="s">
        <v>974</v>
      </c>
      <c r="E58" t="s">
        <v>975</v>
      </c>
      <c r="F58" s="1">
        <v>45989.618611111109</v>
      </c>
      <c r="G58">
        <v>1</v>
      </c>
      <c r="H58">
        <v>0</v>
      </c>
      <c r="I58" t="s">
        <v>274</v>
      </c>
      <c r="J58" t="s">
        <v>32</v>
      </c>
      <c r="K58" t="s">
        <v>276</v>
      </c>
      <c r="L58" t="s">
        <v>630</v>
      </c>
      <c r="M58" t="s">
        <v>345</v>
      </c>
      <c r="N58" t="s">
        <v>392</v>
      </c>
      <c r="O58" t="s">
        <v>393</v>
      </c>
      <c r="P58" t="s">
        <v>398</v>
      </c>
      <c r="Q58" t="s">
        <v>395</v>
      </c>
      <c r="R58" t="s">
        <v>300</v>
      </c>
      <c r="S58" t="s">
        <v>413</v>
      </c>
      <c r="T58" t="s">
        <v>286</v>
      </c>
      <c r="U58" t="s">
        <v>287</v>
      </c>
      <c r="V58" t="s">
        <v>318</v>
      </c>
      <c r="W58" t="s">
        <v>319</v>
      </c>
      <c r="X58">
        <v>12</v>
      </c>
      <c r="Y58" t="s">
        <v>419</v>
      </c>
      <c r="Z58">
        <v>48.387</v>
      </c>
      <c r="AA58">
        <v>4.0830000000000002</v>
      </c>
      <c r="AB58" t="s">
        <v>291</v>
      </c>
      <c r="AC58" t="s">
        <v>293</v>
      </c>
      <c r="AD58" t="s">
        <v>699</v>
      </c>
      <c r="AE58" t="s">
        <v>416</v>
      </c>
      <c r="AF58" t="s">
        <v>350</v>
      </c>
      <c r="AG58" t="s">
        <v>1329</v>
      </c>
      <c r="AH58" t="s">
        <v>976</v>
      </c>
      <c r="AI58" t="s">
        <v>977</v>
      </c>
      <c r="AJ58" t="s">
        <v>696</v>
      </c>
    </row>
    <row r="59" spans="1:36" x14ac:dyDescent="0.2">
      <c r="A59" t="s">
        <v>273</v>
      </c>
      <c r="B59" s="1">
        <v>46066.480752314812</v>
      </c>
      <c r="C59" t="s">
        <v>978</v>
      </c>
      <c r="D59" t="s">
        <v>979</v>
      </c>
      <c r="E59" t="s">
        <v>298</v>
      </c>
      <c r="F59" s="1">
        <v>46066.406284722223</v>
      </c>
      <c r="G59">
        <v>1</v>
      </c>
      <c r="H59">
        <v>0</v>
      </c>
      <c r="I59" t="s">
        <v>274</v>
      </c>
      <c r="J59" t="s">
        <v>32</v>
      </c>
      <c r="K59" t="s">
        <v>276</v>
      </c>
      <c r="L59" t="s">
        <v>630</v>
      </c>
      <c r="M59" t="s">
        <v>381</v>
      </c>
      <c r="N59" t="s">
        <v>399</v>
      </c>
      <c r="O59" s="4" t="s">
        <v>400</v>
      </c>
      <c r="P59" t="s">
        <v>405</v>
      </c>
      <c r="Q59" t="s">
        <v>402</v>
      </c>
      <c r="R59" t="s">
        <v>300</v>
      </c>
      <c r="S59" t="s">
        <v>413</v>
      </c>
      <c r="T59" t="s">
        <v>286</v>
      </c>
      <c r="U59" t="s">
        <v>287</v>
      </c>
      <c r="V59" t="s">
        <v>318</v>
      </c>
      <c r="W59" t="s">
        <v>319</v>
      </c>
      <c r="X59">
        <v>113</v>
      </c>
      <c r="Y59" t="s">
        <v>452</v>
      </c>
      <c r="Z59">
        <v>455.64499999999998</v>
      </c>
      <c r="AA59">
        <v>38.448</v>
      </c>
      <c r="AB59" t="s">
        <v>291</v>
      </c>
      <c r="AD59" t="s">
        <v>980</v>
      </c>
      <c r="AE59" t="s">
        <v>453</v>
      </c>
      <c r="AF59" t="s">
        <v>350</v>
      </c>
      <c r="AG59" t="s">
        <v>1329</v>
      </c>
      <c r="AH59" t="s">
        <v>981</v>
      </c>
      <c r="AI59" t="s">
        <v>982</v>
      </c>
      <c r="AJ59" t="s">
        <v>696</v>
      </c>
    </row>
    <row r="60" spans="1:36" x14ac:dyDescent="0.2">
      <c r="A60" t="s">
        <v>273</v>
      </c>
      <c r="B60" s="1">
        <v>46000.640104166669</v>
      </c>
      <c r="C60" t="s">
        <v>987</v>
      </c>
      <c r="D60" t="s">
        <v>988</v>
      </c>
      <c r="E60" t="s">
        <v>989</v>
      </c>
      <c r="F60" s="1">
        <v>46000.633645833332</v>
      </c>
      <c r="G60">
        <v>1</v>
      </c>
      <c r="H60">
        <v>0</v>
      </c>
      <c r="I60" t="s">
        <v>274</v>
      </c>
      <c r="J60" t="s">
        <v>32</v>
      </c>
      <c r="K60" t="s">
        <v>276</v>
      </c>
      <c r="L60" t="s">
        <v>630</v>
      </c>
      <c r="M60" t="s">
        <v>345</v>
      </c>
      <c r="N60" t="s">
        <v>501</v>
      </c>
      <c r="O60" t="s">
        <v>502</v>
      </c>
      <c r="P60" t="s">
        <v>503</v>
      </c>
      <c r="Q60" t="s">
        <v>504</v>
      </c>
      <c r="R60" t="s">
        <v>300</v>
      </c>
      <c r="S60" t="s">
        <v>479</v>
      </c>
      <c r="T60" t="s">
        <v>286</v>
      </c>
      <c r="U60" t="s">
        <v>287</v>
      </c>
      <c r="V60" t="s">
        <v>318</v>
      </c>
      <c r="W60" t="s">
        <v>319</v>
      </c>
      <c r="X60">
        <v>11</v>
      </c>
      <c r="Y60" t="s">
        <v>529</v>
      </c>
      <c r="Z60">
        <v>44.354999999999997</v>
      </c>
      <c r="AA60">
        <v>3.7429999999999999</v>
      </c>
      <c r="AB60" t="s">
        <v>291</v>
      </c>
      <c r="AD60" t="s">
        <v>990</v>
      </c>
      <c r="AE60" t="s">
        <v>524</v>
      </c>
      <c r="AF60" t="s">
        <v>350</v>
      </c>
      <c r="AG60" t="s">
        <v>1332</v>
      </c>
      <c r="AH60" t="s">
        <v>991</v>
      </c>
      <c r="AI60" t="s">
        <v>992</v>
      </c>
      <c r="AJ60" t="s">
        <v>986</v>
      </c>
    </row>
    <row r="61" spans="1:36" x14ac:dyDescent="0.2">
      <c r="A61" t="s">
        <v>273</v>
      </c>
      <c r="B61" s="1">
        <v>46010.536597222221</v>
      </c>
      <c r="C61" t="s">
        <v>700</v>
      </c>
      <c r="D61" t="s">
        <v>701</v>
      </c>
      <c r="E61" t="s">
        <v>702</v>
      </c>
      <c r="F61" s="1">
        <v>46010.457476851851</v>
      </c>
      <c r="G61">
        <v>1</v>
      </c>
      <c r="H61">
        <v>0</v>
      </c>
      <c r="I61" t="s">
        <v>274</v>
      </c>
      <c r="J61" t="s">
        <v>32</v>
      </c>
      <c r="K61" t="s">
        <v>276</v>
      </c>
      <c r="L61" t="s">
        <v>630</v>
      </c>
      <c r="M61" t="s">
        <v>345</v>
      </c>
      <c r="N61" t="s">
        <v>355</v>
      </c>
      <c r="O61" t="s">
        <v>356</v>
      </c>
      <c r="P61" t="s">
        <v>357</v>
      </c>
      <c r="Q61" t="s">
        <v>358</v>
      </c>
      <c r="R61" t="s">
        <v>300</v>
      </c>
      <c r="S61" t="s">
        <v>479</v>
      </c>
      <c r="T61" t="s">
        <v>286</v>
      </c>
      <c r="U61" t="s">
        <v>287</v>
      </c>
      <c r="V61" t="s">
        <v>318</v>
      </c>
      <c r="W61" t="s">
        <v>319</v>
      </c>
      <c r="X61">
        <v>23</v>
      </c>
      <c r="Y61" t="s">
        <v>533</v>
      </c>
      <c r="Z61">
        <v>92.742000000000004</v>
      </c>
      <c r="AA61">
        <v>7.8259999999999996</v>
      </c>
      <c r="AB61" t="s">
        <v>291</v>
      </c>
      <c r="AD61" t="s">
        <v>993</v>
      </c>
      <c r="AE61" t="s">
        <v>510</v>
      </c>
      <c r="AF61" t="s">
        <v>350</v>
      </c>
      <c r="AG61" t="s">
        <v>1332</v>
      </c>
      <c r="AH61" t="s">
        <v>704</v>
      </c>
      <c r="AI61" t="s">
        <v>994</v>
      </c>
      <c r="AJ61" t="s">
        <v>986</v>
      </c>
    </row>
    <row r="62" spans="1:36" x14ac:dyDescent="0.2">
      <c r="A62" t="s">
        <v>273</v>
      </c>
      <c r="B62" s="1">
        <v>46015.413043981483</v>
      </c>
      <c r="C62" t="s">
        <v>995</v>
      </c>
      <c r="D62" t="s">
        <v>996</v>
      </c>
      <c r="E62" t="s">
        <v>997</v>
      </c>
      <c r="F62" s="1">
        <v>46015</v>
      </c>
      <c r="G62">
        <v>1</v>
      </c>
      <c r="H62">
        <v>0</v>
      </c>
      <c r="I62" t="s">
        <v>274</v>
      </c>
      <c r="J62" t="s">
        <v>32</v>
      </c>
      <c r="K62" t="s">
        <v>276</v>
      </c>
      <c r="L62" t="s">
        <v>630</v>
      </c>
      <c r="M62" t="s">
        <v>345</v>
      </c>
      <c r="N62" t="s">
        <v>490</v>
      </c>
      <c r="O62" t="s">
        <v>491</v>
      </c>
      <c r="P62" t="s">
        <v>492</v>
      </c>
      <c r="Q62" t="s">
        <v>493</v>
      </c>
      <c r="R62" t="s">
        <v>284</v>
      </c>
      <c r="S62" t="s">
        <v>479</v>
      </c>
      <c r="T62" t="s">
        <v>286</v>
      </c>
      <c r="U62" t="s">
        <v>287</v>
      </c>
      <c r="V62" t="s">
        <v>318</v>
      </c>
      <c r="W62" t="s">
        <v>319</v>
      </c>
      <c r="X62">
        <v>24</v>
      </c>
      <c r="Y62" t="s">
        <v>530</v>
      </c>
      <c r="Z62">
        <v>96.774000000000001</v>
      </c>
      <c r="AA62">
        <v>8.1660000000000004</v>
      </c>
      <c r="AB62" t="s">
        <v>291</v>
      </c>
      <c r="AC62" t="s">
        <v>520</v>
      </c>
      <c r="AD62" t="s">
        <v>998</v>
      </c>
      <c r="AE62" t="s">
        <v>495</v>
      </c>
      <c r="AF62" t="s">
        <v>350</v>
      </c>
      <c r="AG62" t="s">
        <v>1332</v>
      </c>
      <c r="AH62" t="s">
        <v>999</v>
      </c>
      <c r="AI62" t="s">
        <v>1000</v>
      </c>
      <c r="AJ62" t="s">
        <v>986</v>
      </c>
    </row>
    <row r="63" spans="1:36" x14ac:dyDescent="0.2">
      <c r="A63" t="s">
        <v>273</v>
      </c>
      <c r="B63" s="1">
        <v>46038.469664351855</v>
      </c>
      <c r="C63" t="s">
        <v>705</v>
      </c>
      <c r="D63" t="s">
        <v>706</v>
      </c>
      <c r="E63" t="s">
        <v>707</v>
      </c>
      <c r="F63" s="1">
        <v>46021.522210648145</v>
      </c>
      <c r="G63">
        <v>1</v>
      </c>
      <c r="H63">
        <v>0</v>
      </c>
      <c r="I63" t="s">
        <v>274</v>
      </c>
      <c r="J63" t="s">
        <v>32</v>
      </c>
      <c r="K63" t="s">
        <v>276</v>
      </c>
      <c r="L63" t="s">
        <v>630</v>
      </c>
      <c r="M63" t="s">
        <v>345</v>
      </c>
      <c r="N63" t="s">
        <v>355</v>
      </c>
      <c r="O63" t="s">
        <v>356</v>
      </c>
      <c r="P63" t="s">
        <v>357</v>
      </c>
      <c r="Q63" t="s">
        <v>358</v>
      </c>
      <c r="R63" t="s">
        <v>300</v>
      </c>
      <c r="S63" t="s">
        <v>479</v>
      </c>
      <c r="T63" t="s">
        <v>286</v>
      </c>
      <c r="U63" t="s">
        <v>287</v>
      </c>
      <c r="V63" t="s">
        <v>318</v>
      </c>
      <c r="W63" t="s">
        <v>319</v>
      </c>
      <c r="X63">
        <v>22</v>
      </c>
      <c r="Y63" t="s">
        <v>531</v>
      </c>
      <c r="Z63">
        <v>88.71</v>
      </c>
      <c r="AA63">
        <v>7.4859999999999998</v>
      </c>
      <c r="AB63" t="s">
        <v>291</v>
      </c>
      <c r="AD63" t="s">
        <v>1001</v>
      </c>
      <c r="AE63" t="s">
        <v>510</v>
      </c>
      <c r="AF63" t="s">
        <v>350</v>
      </c>
      <c r="AG63" t="s">
        <v>1332</v>
      </c>
      <c r="AH63" t="s">
        <v>708</v>
      </c>
      <c r="AI63" t="s">
        <v>1002</v>
      </c>
      <c r="AJ63" t="s">
        <v>986</v>
      </c>
    </row>
    <row r="64" spans="1:36" x14ac:dyDescent="0.2">
      <c r="A64" t="s">
        <v>273</v>
      </c>
      <c r="B64" s="1">
        <v>46034.548668981479</v>
      </c>
      <c r="C64" t="s">
        <v>1003</v>
      </c>
      <c r="D64" t="s">
        <v>1004</v>
      </c>
      <c r="E64" t="s">
        <v>1005</v>
      </c>
      <c r="F64" s="1">
        <v>46021.599444444444</v>
      </c>
      <c r="G64">
        <v>1</v>
      </c>
      <c r="H64">
        <v>0</v>
      </c>
      <c r="I64" t="s">
        <v>274</v>
      </c>
      <c r="J64" t="s">
        <v>32</v>
      </c>
      <c r="K64" t="s">
        <v>276</v>
      </c>
      <c r="L64" t="s">
        <v>630</v>
      </c>
      <c r="M64" t="s">
        <v>381</v>
      </c>
      <c r="N64" t="s">
        <v>389</v>
      </c>
      <c r="O64" t="s">
        <v>390</v>
      </c>
      <c r="P64" t="s">
        <v>403</v>
      </c>
      <c r="Q64" t="s">
        <v>404</v>
      </c>
      <c r="R64" t="s">
        <v>284</v>
      </c>
      <c r="S64" t="s">
        <v>479</v>
      </c>
      <c r="T64" t="s">
        <v>286</v>
      </c>
      <c r="U64" t="s">
        <v>287</v>
      </c>
      <c r="V64" t="s">
        <v>318</v>
      </c>
      <c r="W64" t="s">
        <v>319</v>
      </c>
      <c r="X64">
        <v>119</v>
      </c>
      <c r="Y64" t="s">
        <v>532</v>
      </c>
      <c r="Z64">
        <v>479.839</v>
      </c>
      <c r="AA64">
        <v>40.49</v>
      </c>
      <c r="AB64" t="s">
        <v>291</v>
      </c>
      <c r="AC64" t="s">
        <v>293</v>
      </c>
      <c r="AD64" t="s">
        <v>1006</v>
      </c>
      <c r="AE64" t="s">
        <v>485</v>
      </c>
      <c r="AF64" t="s">
        <v>350</v>
      </c>
      <c r="AG64" t="s">
        <v>1332</v>
      </c>
      <c r="AH64" t="s">
        <v>1007</v>
      </c>
      <c r="AI64" t="s">
        <v>1008</v>
      </c>
      <c r="AJ64" t="s">
        <v>986</v>
      </c>
    </row>
    <row r="65" spans="1:36" x14ac:dyDescent="0.2">
      <c r="A65" t="s">
        <v>273</v>
      </c>
      <c r="B65" s="1">
        <v>45999.843472222223</v>
      </c>
      <c r="C65" t="s">
        <v>1009</v>
      </c>
      <c r="D65" t="s">
        <v>1010</v>
      </c>
      <c r="E65" t="s">
        <v>1011</v>
      </c>
      <c r="F65" s="1">
        <v>45666.600439814814</v>
      </c>
      <c r="G65">
        <v>1</v>
      </c>
      <c r="H65">
        <v>0</v>
      </c>
      <c r="I65" t="s">
        <v>274</v>
      </c>
      <c r="J65" t="s">
        <v>32</v>
      </c>
      <c r="K65" t="s">
        <v>276</v>
      </c>
      <c r="L65" t="s">
        <v>630</v>
      </c>
      <c r="M65" t="s">
        <v>478</v>
      </c>
      <c r="N65" t="s">
        <v>399</v>
      </c>
      <c r="O65" s="4" t="s">
        <v>400</v>
      </c>
      <c r="P65" t="s">
        <v>401</v>
      </c>
      <c r="Q65" t="s">
        <v>402</v>
      </c>
      <c r="R65" t="s">
        <v>300</v>
      </c>
      <c r="S65" t="s">
        <v>479</v>
      </c>
      <c r="T65" t="s">
        <v>286</v>
      </c>
      <c r="U65" t="s">
        <v>287</v>
      </c>
      <c r="V65" t="s">
        <v>318</v>
      </c>
      <c r="W65" t="s">
        <v>319</v>
      </c>
      <c r="X65">
        <v>22</v>
      </c>
      <c r="Y65" t="s">
        <v>1012</v>
      </c>
      <c r="Z65">
        <v>88.71</v>
      </c>
      <c r="AA65">
        <v>7.4859999999999998</v>
      </c>
      <c r="AB65" t="s">
        <v>291</v>
      </c>
      <c r="AD65" t="s">
        <v>1013</v>
      </c>
      <c r="AE65" t="s">
        <v>485</v>
      </c>
      <c r="AF65" t="s">
        <v>350</v>
      </c>
      <c r="AG65" t="s">
        <v>1332</v>
      </c>
      <c r="AH65" t="s">
        <v>1014</v>
      </c>
      <c r="AI65" t="s">
        <v>1015</v>
      </c>
      <c r="AJ65" t="s">
        <v>986</v>
      </c>
    </row>
    <row r="66" spans="1:36" x14ac:dyDescent="0.2">
      <c r="A66" t="s">
        <v>273</v>
      </c>
      <c r="B66" s="1">
        <v>45999.843472222223</v>
      </c>
      <c r="C66" t="s">
        <v>1016</v>
      </c>
      <c r="D66" t="s">
        <v>1017</v>
      </c>
      <c r="E66" t="s">
        <v>1018</v>
      </c>
      <c r="F66" s="1">
        <v>45670.60633101852</v>
      </c>
      <c r="G66">
        <v>1</v>
      </c>
      <c r="H66">
        <v>0</v>
      </c>
      <c r="I66" t="s">
        <v>274</v>
      </c>
      <c r="J66" t="s">
        <v>32</v>
      </c>
      <c r="K66" t="s">
        <v>276</v>
      </c>
      <c r="L66" t="s">
        <v>630</v>
      </c>
      <c r="M66" t="s">
        <v>478</v>
      </c>
      <c r="N66" t="s">
        <v>501</v>
      </c>
      <c r="O66" t="s">
        <v>502</v>
      </c>
      <c r="P66" t="s">
        <v>503</v>
      </c>
      <c r="Q66" t="s">
        <v>504</v>
      </c>
      <c r="R66" t="s">
        <v>300</v>
      </c>
      <c r="S66" t="s">
        <v>479</v>
      </c>
      <c r="T66" t="s">
        <v>286</v>
      </c>
      <c r="U66" t="s">
        <v>287</v>
      </c>
      <c r="V66" t="s">
        <v>318</v>
      </c>
      <c r="W66" t="s">
        <v>319</v>
      </c>
      <c r="X66">
        <v>22</v>
      </c>
      <c r="Y66" t="s">
        <v>1012</v>
      </c>
      <c r="Z66">
        <v>88.71</v>
      </c>
      <c r="AA66">
        <v>7.4859999999999998</v>
      </c>
      <c r="AB66" t="s">
        <v>291</v>
      </c>
      <c r="AD66" t="s">
        <v>1013</v>
      </c>
      <c r="AE66" t="s">
        <v>485</v>
      </c>
      <c r="AF66" t="s">
        <v>350</v>
      </c>
      <c r="AG66" t="s">
        <v>1332</v>
      </c>
      <c r="AH66" t="s">
        <v>1019</v>
      </c>
      <c r="AI66" t="s">
        <v>1020</v>
      </c>
      <c r="AJ66" t="s">
        <v>986</v>
      </c>
    </row>
    <row r="67" spans="1:36" x14ac:dyDescent="0.2">
      <c r="A67" t="s">
        <v>273</v>
      </c>
      <c r="B67" s="1">
        <v>45999.843472222223</v>
      </c>
      <c r="C67" s="4" t="s">
        <v>1021</v>
      </c>
      <c r="D67" t="s">
        <v>1022</v>
      </c>
      <c r="E67" t="s">
        <v>1023</v>
      </c>
      <c r="F67" s="1">
        <v>45673.719155092593</v>
      </c>
      <c r="G67">
        <v>1</v>
      </c>
      <c r="H67">
        <v>0</v>
      </c>
      <c r="I67" t="s">
        <v>274</v>
      </c>
      <c r="J67" t="s">
        <v>32</v>
      </c>
      <c r="K67" t="s">
        <v>276</v>
      </c>
      <c r="L67" t="s">
        <v>630</v>
      </c>
      <c r="M67" t="s">
        <v>743</v>
      </c>
      <c r="N67" t="s">
        <v>355</v>
      </c>
      <c r="O67" t="s">
        <v>356</v>
      </c>
      <c r="P67" t="s">
        <v>357</v>
      </c>
      <c r="Q67" t="s">
        <v>358</v>
      </c>
      <c r="R67" t="s">
        <v>300</v>
      </c>
      <c r="S67" t="s">
        <v>479</v>
      </c>
      <c r="T67" t="s">
        <v>286</v>
      </c>
      <c r="U67" t="s">
        <v>287</v>
      </c>
      <c r="V67" t="s">
        <v>318</v>
      </c>
      <c r="W67" t="s">
        <v>319</v>
      </c>
      <c r="X67">
        <v>36</v>
      </c>
      <c r="Y67" t="s">
        <v>1024</v>
      </c>
      <c r="Z67">
        <v>145.161</v>
      </c>
      <c r="AA67">
        <v>12.249000000000001</v>
      </c>
      <c r="AB67" t="s">
        <v>291</v>
      </c>
      <c r="AD67" t="s">
        <v>1025</v>
      </c>
      <c r="AE67" t="s">
        <v>487</v>
      </c>
      <c r="AF67" t="s">
        <v>350</v>
      </c>
      <c r="AG67" t="s">
        <v>1332</v>
      </c>
      <c r="AH67" t="s">
        <v>1026</v>
      </c>
      <c r="AI67" t="s">
        <v>1027</v>
      </c>
      <c r="AJ67" t="s">
        <v>986</v>
      </c>
    </row>
    <row r="68" spans="1:36" x14ac:dyDescent="0.2">
      <c r="A68" t="s">
        <v>273</v>
      </c>
      <c r="B68" s="1">
        <v>45999.843472222223</v>
      </c>
      <c r="C68" t="s">
        <v>723</v>
      </c>
      <c r="D68" t="s">
        <v>724</v>
      </c>
      <c r="E68" t="s">
        <v>725</v>
      </c>
      <c r="F68" s="1">
        <v>45681.488796296297</v>
      </c>
      <c r="G68">
        <v>1</v>
      </c>
      <c r="H68">
        <v>0</v>
      </c>
      <c r="I68" t="s">
        <v>274</v>
      </c>
      <c r="J68" t="s">
        <v>32</v>
      </c>
      <c r="K68" t="s">
        <v>276</v>
      </c>
      <c r="L68" t="s">
        <v>630</v>
      </c>
      <c r="M68" t="s">
        <v>347</v>
      </c>
      <c r="N68" t="s">
        <v>389</v>
      </c>
      <c r="O68" t="s">
        <v>390</v>
      </c>
      <c r="P68" t="s">
        <v>403</v>
      </c>
      <c r="Q68" t="s">
        <v>404</v>
      </c>
      <c r="R68" t="s">
        <v>300</v>
      </c>
      <c r="S68" t="s">
        <v>479</v>
      </c>
      <c r="T68" t="s">
        <v>286</v>
      </c>
      <c r="U68" t="s">
        <v>287</v>
      </c>
      <c r="V68" t="s">
        <v>318</v>
      </c>
      <c r="W68" t="s">
        <v>319</v>
      </c>
      <c r="X68">
        <v>198</v>
      </c>
      <c r="Y68" t="s">
        <v>1028</v>
      </c>
      <c r="Z68">
        <v>798.38699999999994</v>
      </c>
      <c r="AA68">
        <v>67.37</v>
      </c>
      <c r="AB68" t="s">
        <v>291</v>
      </c>
      <c r="AD68" t="s">
        <v>1029</v>
      </c>
      <c r="AE68" t="s">
        <v>485</v>
      </c>
      <c r="AF68" t="s">
        <v>350</v>
      </c>
      <c r="AG68" t="s">
        <v>1332</v>
      </c>
      <c r="AH68" t="s">
        <v>728</v>
      </c>
      <c r="AI68" t="s">
        <v>1030</v>
      </c>
      <c r="AJ68" t="s">
        <v>986</v>
      </c>
    </row>
    <row r="69" spans="1:36" x14ac:dyDescent="0.2">
      <c r="A69" t="s">
        <v>273</v>
      </c>
      <c r="B69" s="1">
        <v>45999.843472222223</v>
      </c>
      <c r="C69" t="s">
        <v>756</v>
      </c>
      <c r="D69" t="s">
        <v>757</v>
      </c>
      <c r="E69" t="s">
        <v>220</v>
      </c>
      <c r="F69" s="1">
        <v>45716.620532407411</v>
      </c>
      <c r="G69">
        <v>1</v>
      </c>
      <c r="H69">
        <v>0</v>
      </c>
      <c r="I69" t="s">
        <v>274</v>
      </c>
      <c r="J69" t="s">
        <v>32</v>
      </c>
      <c r="K69" t="s">
        <v>276</v>
      </c>
      <c r="L69" t="s">
        <v>630</v>
      </c>
      <c r="M69" t="s">
        <v>743</v>
      </c>
      <c r="N69" t="s">
        <v>355</v>
      </c>
      <c r="O69" t="s">
        <v>356</v>
      </c>
      <c r="P69" t="s">
        <v>357</v>
      </c>
      <c r="Q69" t="s">
        <v>358</v>
      </c>
      <c r="R69" t="s">
        <v>300</v>
      </c>
      <c r="S69" t="s">
        <v>479</v>
      </c>
      <c r="T69" t="s">
        <v>286</v>
      </c>
      <c r="U69" t="s">
        <v>287</v>
      </c>
      <c r="V69" t="s">
        <v>318</v>
      </c>
      <c r="W69" t="s">
        <v>319</v>
      </c>
      <c r="X69">
        <v>95</v>
      </c>
      <c r="Y69" t="s">
        <v>1031</v>
      </c>
      <c r="Z69">
        <v>383.065</v>
      </c>
      <c r="AA69">
        <v>32.323999999999998</v>
      </c>
      <c r="AB69" t="s">
        <v>291</v>
      </c>
      <c r="AD69" t="s">
        <v>1032</v>
      </c>
      <c r="AE69" t="s">
        <v>487</v>
      </c>
      <c r="AF69" t="s">
        <v>350</v>
      </c>
      <c r="AG69" t="s">
        <v>1335</v>
      </c>
      <c r="AH69" t="s">
        <v>760</v>
      </c>
      <c r="AI69" t="s">
        <v>1033</v>
      </c>
      <c r="AJ69" t="s">
        <v>986</v>
      </c>
    </row>
    <row r="70" spans="1:36" x14ac:dyDescent="0.2">
      <c r="A70" t="s">
        <v>273</v>
      </c>
      <c r="B70" s="1">
        <v>45999.843472222223</v>
      </c>
      <c r="C70" t="s">
        <v>1034</v>
      </c>
      <c r="D70" t="s">
        <v>1035</v>
      </c>
      <c r="E70" t="s">
        <v>1036</v>
      </c>
      <c r="F70" s="1">
        <v>45716.625185185185</v>
      </c>
      <c r="G70">
        <v>1</v>
      </c>
      <c r="H70">
        <v>0</v>
      </c>
      <c r="I70" t="s">
        <v>274</v>
      </c>
      <c r="J70" t="s">
        <v>32</v>
      </c>
      <c r="K70" t="s">
        <v>276</v>
      </c>
      <c r="L70" t="s">
        <v>630</v>
      </c>
      <c r="M70" t="s">
        <v>743</v>
      </c>
      <c r="N70" t="s">
        <v>355</v>
      </c>
      <c r="O70" t="s">
        <v>356</v>
      </c>
      <c r="P70" t="s">
        <v>357</v>
      </c>
      <c r="Q70" t="s">
        <v>358</v>
      </c>
      <c r="R70" t="s">
        <v>300</v>
      </c>
      <c r="S70" t="s">
        <v>479</v>
      </c>
      <c r="T70" t="s">
        <v>286</v>
      </c>
      <c r="U70" t="s">
        <v>287</v>
      </c>
      <c r="V70" t="s">
        <v>318</v>
      </c>
      <c r="W70" t="s">
        <v>319</v>
      </c>
      <c r="X70">
        <v>81</v>
      </c>
      <c r="Y70" t="s">
        <v>1037</v>
      </c>
      <c r="Z70">
        <v>326.613</v>
      </c>
      <c r="AA70">
        <v>27.56</v>
      </c>
      <c r="AB70" t="s">
        <v>291</v>
      </c>
      <c r="AD70" t="s">
        <v>1038</v>
      </c>
      <c r="AE70" t="s">
        <v>487</v>
      </c>
      <c r="AF70" t="s">
        <v>350</v>
      </c>
      <c r="AG70" t="s">
        <v>1335</v>
      </c>
      <c r="AH70" t="s">
        <v>1039</v>
      </c>
      <c r="AI70" t="s">
        <v>1040</v>
      </c>
      <c r="AJ70" t="s">
        <v>986</v>
      </c>
    </row>
    <row r="71" spans="1:36" x14ac:dyDescent="0.2">
      <c r="A71" t="s">
        <v>273</v>
      </c>
      <c r="B71" s="1">
        <v>45999.843472222223</v>
      </c>
      <c r="C71" t="s">
        <v>762</v>
      </c>
      <c r="D71" t="s">
        <v>763</v>
      </c>
      <c r="E71" t="s">
        <v>129</v>
      </c>
      <c r="F71" s="1">
        <v>45716.696064814816</v>
      </c>
      <c r="G71">
        <v>1</v>
      </c>
      <c r="H71">
        <v>0</v>
      </c>
      <c r="I71" t="s">
        <v>274</v>
      </c>
      <c r="J71" t="s">
        <v>32</v>
      </c>
      <c r="K71" t="s">
        <v>276</v>
      </c>
      <c r="L71" t="s">
        <v>630</v>
      </c>
      <c r="M71" t="s">
        <v>478</v>
      </c>
      <c r="N71" t="s">
        <v>399</v>
      </c>
      <c r="O71" s="4" t="s">
        <v>400</v>
      </c>
      <c r="P71" t="s">
        <v>405</v>
      </c>
      <c r="Q71" t="s">
        <v>402</v>
      </c>
      <c r="R71" t="s">
        <v>300</v>
      </c>
      <c r="S71" t="s">
        <v>479</v>
      </c>
      <c r="T71" t="s">
        <v>286</v>
      </c>
      <c r="U71" t="s">
        <v>287</v>
      </c>
      <c r="V71" t="s">
        <v>318</v>
      </c>
      <c r="W71" t="s">
        <v>319</v>
      </c>
      <c r="X71">
        <v>12</v>
      </c>
      <c r="Y71" t="s">
        <v>505</v>
      </c>
      <c r="Z71">
        <v>48.387</v>
      </c>
      <c r="AA71">
        <v>4.0830000000000002</v>
      </c>
      <c r="AB71" t="s">
        <v>291</v>
      </c>
      <c r="AD71" t="s">
        <v>1041</v>
      </c>
      <c r="AE71" t="s">
        <v>485</v>
      </c>
      <c r="AF71" t="s">
        <v>350</v>
      </c>
      <c r="AG71" t="s">
        <v>1335</v>
      </c>
      <c r="AH71" t="s">
        <v>764</v>
      </c>
      <c r="AI71" t="s">
        <v>1042</v>
      </c>
      <c r="AJ71" t="s">
        <v>986</v>
      </c>
    </row>
    <row r="72" spans="1:36" x14ac:dyDescent="0.2">
      <c r="A72" t="s">
        <v>273</v>
      </c>
      <c r="B72" s="1">
        <v>45999.843472222223</v>
      </c>
      <c r="C72" t="s">
        <v>1043</v>
      </c>
      <c r="D72" t="s">
        <v>1044</v>
      </c>
      <c r="E72" t="s">
        <v>1045</v>
      </c>
      <c r="F72" s="1">
        <v>45747.497129629628</v>
      </c>
      <c r="G72">
        <v>1</v>
      </c>
      <c r="H72">
        <v>0</v>
      </c>
      <c r="I72" t="s">
        <v>274</v>
      </c>
      <c r="J72" t="s">
        <v>32</v>
      </c>
      <c r="K72" t="s">
        <v>276</v>
      </c>
      <c r="L72" t="s">
        <v>630</v>
      </c>
      <c r="M72" t="s">
        <v>381</v>
      </c>
      <c r="N72" t="s">
        <v>490</v>
      </c>
      <c r="O72" t="s">
        <v>491</v>
      </c>
      <c r="P72" t="s">
        <v>1046</v>
      </c>
      <c r="Q72" t="s">
        <v>493</v>
      </c>
      <c r="R72" t="s">
        <v>284</v>
      </c>
      <c r="S72" t="s">
        <v>479</v>
      </c>
      <c r="T72" t="s">
        <v>286</v>
      </c>
      <c r="U72" t="s">
        <v>287</v>
      </c>
      <c r="V72" t="s">
        <v>318</v>
      </c>
      <c r="W72" t="s">
        <v>319</v>
      </c>
      <c r="X72">
        <v>24</v>
      </c>
      <c r="Y72" t="s">
        <v>530</v>
      </c>
      <c r="Z72">
        <v>96.774000000000001</v>
      </c>
      <c r="AA72">
        <v>8.1660000000000004</v>
      </c>
      <c r="AB72" t="s">
        <v>291</v>
      </c>
      <c r="AD72" t="s">
        <v>998</v>
      </c>
      <c r="AE72" t="s">
        <v>495</v>
      </c>
      <c r="AF72" t="s">
        <v>350</v>
      </c>
      <c r="AG72" t="s">
        <v>1335</v>
      </c>
      <c r="AH72" t="s">
        <v>1047</v>
      </c>
      <c r="AI72" t="s">
        <v>1048</v>
      </c>
      <c r="AJ72" t="s">
        <v>986</v>
      </c>
    </row>
    <row r="73" spans="1:36" x14ac:dyDescent="0.2">
      <c r="A73" t="s">
        <v>273</v>
      </c>
      <c r="B73" s="1">
        <v>45999.843472222223</v>
      </c>
      <c r="C73" t="s">
        <v>782</v>
      </c>
      <c r="D73" t="s">
        <v>783</v>
      </c>
      <c r="E73" t="s">
        <v>784</v>
      </c>
      <c r="F73" s="1">
        <v>45747.7422337963</v>
      </c>
      <c r="G73">
        <v>1</v>
      </c>
      <c r="H73">
        <v>0</v>
      </c>
      <c r="I73" t="s">
        <v>274</v>
      </c>
      <c r="J73" t="s">
        <v>32</v>
      </c>
      <c r="K73" t="s">
        <v>276</v>
      </c>
      <c r="L73" t="s">
        <v>630</v>
      </c>
      <c r="M73" t="s">
        <v>381</v>
      </c>
      <c r="N73" t="s">
        <v>355</v>
      </c>
      <c r="O73" t="s">
        <v>356</v>
      </c>
      <c r="P73" t="s">
        <v>357</v>
      </c>
      <c r="Q73" t="s">
        <v>358</v>
      </c>
      <c r="R73" t="s">
        <v>300</v>
      </c>
      <c r="S73" t="s">
        <v>479</v>
      </c>
      <c r="T73" t="s">
        <v>286</v>
      </c>
      <c r="U73" t="s">
        <v>287</v>
      </c>
      <c r="V73" t="s">
        <v>318</v>
      </c>
      <c r="W73" t="s">
        <v>319</v>
      </c>
      <c r="X73">
        <v>104</v>
      </c>
      <c r="Y73" t="s">
        <v>528</v>
      </c>
      <c r="Z73">
        <v>419.35500000000002</v>
      </c>
      <c r="AA73">
        <v>35.386000000000003</v>
      </c>
      <c r="AB73" t="s">
        <v>291</v>
      </c>
      <c r="AD73" t="s">
        <v>1049</v>
      </c>
      <c r="AE73" t="s">
        <v>487</v>
      </c>
      <c r="AF73" t="s">
        <v>350</v>
      </c>
      <c r="AG73" t="s">
        <v>1335</v>
      </c>
      <c r="AH73" t="s">
        <v>785</v>
      </c>
      <c r="AI73" t="s">
        <v>1050</v>
      </c>
      <c r="AJ73" t="s">
        <v>986</v>
      </c>
    </row>
    <row r="74" spans="1:36" x14ac:dyDescent="0.2">
      <c r="A74" t="s">
        <v>273</v>
      </c>
      <c r="B74" s="1">
        <v>45999.843472222223</v>
      </c>
      <c r="C74" t="s">
        <v>1051</v>
      </c>
      <c r="D74" t="s">
        <v>1052</v>
      </c>
      <c r="E74" t="s">
        <v>1053</v>
      </c>
      <c r="F74" s="1">
        <v>45765.517418981479</v>
      </c>
      <c r="G74">
        <v>1</v>
      </c>
      <c r="H74">
        <v>0</v>
      </c>
      <c r="I74" t="s">
        <v>274</v>
      </c>
      <c r="J74" t="s">
        <v>32</v>
      </c>
      <c r="K74" t="s">
        <v>276</v>
      </c>
      <c r="L74" t="s">
        <v>630</v>
      </c>
      <c r="M74" t="s">
        <v>345</v>
      </c>
      <c r="N74" t="s">
        <v>501</v>
      </c>
      <c r="O74" t="s">
        <v>502</v>
      </c>
      <c r="P74" t="s">
        <v>503</v>
      </c>
      <c r="Q74" t="s">
        <v>504</v>
      </c>
      <c r="R74" t="s">
        <v>300</v>
      </c>
      <c r="S74" t="s">
        <v>479</v>
      </c>
      <c r="T74" t="s">
        <v>286</v>
      </c>
      <c r="U74" t="s">
        <v>287</v>
      </c>
      <c r="V74" t="s">
        <v>318</v>
      </c>
      <c r="W74" t="s">
        <v>319</v>
      </c>
      <c r="X74">
        <v>24</v>
      </c>
      <c r="Y74" t="s">
        <v>527</v>
      </c>
      <c r="Z74">
        <v>96.774000000000001</v>
      </c>
      <c r="AA74">
        <v>8.1660000000000004</v>
      </c>
      <c r="AB74" t="s">
        <v>291</v>
      </c>
      <c r="AD74" t="s">
        <v>1054</v>
      </c>
      <c r="AE74" t="s">
        <v>485</v>
      </c>
      <c r="AF74" t="s">
        <v>350</v>
      </c>
      <c r="AG74" t="s">
        <v>1335</v>
      </c>
      <c r="AH74" t="s">
        <v>1055</v>
      </c>
      <c r="AI74" t="s">
        <v>1056</v>
      </c>
      <c r="AJ74" t="s">
        <v>986</v>
      </c>
    </row>
    <row r="75" spans="1:36" x14ac:dyDescent="0.2">
      <c r="A75" t="s">
        <v>273</v>
      </c>
      <c r="B75" s="1">
        <v>45999.843472222223</v>
      </c>
      <c r="C75" t="s">
        <v>806</v>
      </c>
      <c r="D75" t="s">
        <v>807</v>
      </c>
      <c r="E75" t="s">
        <v>411</v>
      </c>
      <c r="F75" s="1">
        <v>45777.721180555556</v>
      </c>
      <c r="G75">
        <v>1</v>
      </c>
      <c r="H75">
        <v>0</v>
      </c>
      <c r="I75" t="s">
        <v>274</v>
      </c>
      <c r="J75" t="s">
        <v>32</v>
      </c>
      <c r="K75" t="s">
        <v>276</v>
      </c>
      <c r="L75" t="s">
        <v>630</v>
      </c>
      <c r="M75" t="s">
        <v>381</v>
      </c>
      <c r="N75" t="s">
        <v>389</v>
      </c>
      <c r="O75" t="s">
        <v>390</v>
      </c>
      <c r="P75" t="s">
        <v>403</v>
      </c>
      <c r="Q75" t="s">
        <v>404</v>
      </c>
      <c r="R75" t="s">
        <v>284</v>
      </c>
      <c r="S75" t="s">
        <v>479</v>
      </c>
      <c r="T75" t="s">
        <v>286</v>
      </c>
      <c r="U75" t="s">
        <v>287</v>
      </c>
      <c r="V75" t="s">
        <v>318</v>
      </c>
      <c r="W75" t="s">
        <v>319</v>
      </c>
      <c r="X75">
        <v>194</v>
      </c>
      <c r="Y75" t="s">
        <v>484</v>
      </c>
      <c r="Z75">
        <v>782.25800000000004</v>
      </c>
      <c r="AA75">
        <v>66.009</v>
      </c>
      <c r="AB75" t="s">
        <v>291</v>
      </c>
      <c r="AD75" t="s">
        <v>1057</v>
      </c>
      <c r="AE75" t="s">
        <v>485</v>
      </c>
      <c r="AF75" t="s">
        <v>350</v>
      </c>
      <c r="AG75" t="s">
        <v>1340</v>
      </c>
      <c r="AH75" t="s">
        <v>809</v>
      </c>
      <c r="AI75" t="s">
        <v>1058</v>
      </c>
      <c r="AJ75" t="s">
        <v>986</v>
      </c>
    </row>
    <row r="76" spans="1:36" x14ac:dyDescent="0.2">
      <c r="A76" t="s">
        <v>273</v>
      </c>
      <c r="B76" s="1">
        <v>45999.843472222223</v>
      </c>
      <c r="C76" t="s">
        <v>1059</v>
      </c>
      <c r="D76" t="s">
        <v>1060</v>
      </c>
      <c r="E76" t="s">
        <v>600</v>
      </c>
      <c r="F76" s="1">
        <v>45799.518194444441</v>
      </c>
      <c r="G76">
        <v>1</v>
      </c>
      <c r="H76">
        <v>0</v>
      </c>
      <c r="I76" t="s">
        <v>274</v>
      </c>
      <c r="J76" t="s">
        <v>32</v>
      </c>
      <c r="K76" t="s">
        <v>276</v>
      </c>
      <c r="L76" t="s">
        <v>630</v>
      </c>
      <c r="M76" t="s">
        <v>345</v>
      </c>
      <c r="N76" t="s">
        <v>355</v>
      </c>
      <c r="O76" t="s">
        <v>356</v>
      </c>
      <c r="P76" t="s">
        <v>357</v>
      </c>
      <c r="Q76" t="s">
        <v>358</v>
      </c>
      <c r="R76" t="s">
        <v>300</v>
      </c>
      <c r="S76" t="s">
        <v>479</v>
      </c>
      <c r="T76" t="s">
        <v>286</v>
      </c>
      <c r="U76" t="s">
        <v>287</v>
      </c>
      <c r="V76" t="s">
        <v>318</v>
      </c>
      <c r="W76" t="s">
        <v>319</v>
      </c>
      <c r="X76">
        <v>34</v>
      </c>
      <c r="Y76" t="s">
        <v>486</v>
      </c>
      <c r="Z76">
        <v>137.09700000000001</v>
      </c>
      <c r="AA76">
        <v>11.569000000000001</v>
      </c>
      <c r="AB76" t="s">
        <v>291</v>
      </c>
      <c r="AD76" t="s">
        <v>1061</v>
      </c>
      <c r="AE76" t="s">
        <v>487</v>
      </c>
      <c r="AF76" t="s">
        <v>350</v>
      </c>
      <c r="AG76" t="s">
        <v>1340</v>
      </c>
      <c r="AH76" t="s">
        <v>1062</v>
      </c>
      <c r="AI76" t="s">
        <v>1063</v>
      </c>
      <c r="AJ76" t="s">
        <v>986</v>
      </c>
    </row>
    <row r="77" spans="1:36" x14ac:dyDescent="0.2">
      <c r="A77" t="s">
        <v>273</v>
      </c>
      <c r="B77" s="1">
        <v>45999.843472222223</v>
      </c>
      <c r="C77" t="s">
        <v>1064</v>
      </c>
      <c r="D77" t="s">
        <v>1065</v>
      </c>
      <c r="E77" t="s">
        <v>1066</v>
      </c>
      <c r="F77" s="1">
        <v>45813.597291666665</v>
      </c>
      <c r="G77">
        <v>1</v>
      </c>
      <c r="H77">
        <v>0</v>
      </c>
      <c r="I77" t="s">
        <v>274</v>
      </c>
      <c r="J77" t="s">
        <v>32</v>
      </c>
      <c r="K77" t="s">
        <v>276</v>
      </c>
      <c r="L77" t="s">
        <v>630</v>
      </c>
      <c r="M77" t="s">
        <v>345</v>
      </c>
      <c r="N77" t="s">
        <v>355</v>
      </c>
      <c r="O77" t="s">
        <v>356</v>
      </c>
      <c r="P77" t="s">
        <v>357</v>
      </c>
      <c r="Q77" t="s">
        <v>358</v>
      </c>
      <c r="R77" t="s">
        <v>300</v>
      </c>
      <c r="S77" t="s">
        <v>479</v>
      </c>
      <c r="T77" t="s">
        <v>286</v>
      </c>
      <c r="U77" t="s">
        <v>287</v>
      </c>
      <c r="V77" t="s">
        <v>318</v>
      </c>
      <c r="W77" t="s">
        <v>319</v>
      </c>
      <c r="X77">
        <v>55</v>
      </c>
      <c r="Y77" t="s">
        <v>488</v>
      </c>
      <c r="Z77">
        <v>221.774</v>
      </c>
      <c r="AA77">
        <v>18.713999999999999</v>
      </c>
      <c r="AB77" t="s">
        <v>291</v>
      </c>
      <c r="AD77" t="s">
        <v>1067</v>
      </c>
      <c r="AE77" t="s">
        <v>487</v>
      </c>
      <c r="AF77" t="s">
        <v>350</v>
      </c>
      <c r="AG77" t="s">
        <v>1340</v>
      </c>
      <c r="AH77" t="s">
        <v>1068</v>
      </c>
      <c r="AI77" t="s">
        <v>1069</v>
      </c>
      <c r="AJ77" t="s">
        <v>986</v>
      </c>
    </row>
    <row r="78" spans="1:36" x14ac:dyDescent="0.2">
      <c r="A78" t="s">
        <v>273</v>
      </c>
      <c r="B78" s="1">
        <v>45999.843472222223</v>
      </c>
      <c r="C78" t="s">
        <v>834</v>
      </c>
      <c r="D78" t="s">
        <v>835</v>
      </c>
      <c r="E78" t="s">
        <v>836</v>
      </c>
      <c r="F78" s="1">
        <v>45828.532962962963</v>
      </c>
      <c r="G78">
        <v>1</v>
      </c>
      <c r="H78">
        <v>0</v>
      </c>
      <c r="I78" t="s">
        <v>274</v>
      </c>
      <c r="J78" t="s">
        <v>32</v>
      </c>
      <c r="K78" t="s">
        <v>276</v>
      </c>
      <c r="L78" t="s">
        <v>630</v>
      </c>
      <c r="M78" t="s">
        <v>345</v>
      </c>
      <c r="N78" t="s">
        <v>420</v>
      </c>
      <c r="O78" t="s">
        <v>421</v>
      </c>
      <c r="P78" t="s">
        <v>422</v>
      </c>
      <c r="Q78" t="s">
        <v>423</v>
      </c>
      <c r="R78" t="s">
        <v>300</v>
      </c>
      <c r="S78" t="s">
        <v>479</v>
      </c>
      <c r="T78" t="s">
        <v>286</v>
      </c>
      <c r="U78" t="s">
        <v>287</v>
      </c>
      <c r="V78" t="s">
        <v>318</v>
      </c>
      <c r="W78" t="s">
        <v>319</v>
      </c>
      <c r="X78">
        <v>8</v>
      </c>
      <c r="Y78" t="s">
        <v>489</v>
      </c>
      <c r="Z78">
        <v>32.258000000000003</v>
      </c>
      <c r="AA78">
        <v>2.722</v>
      </c>
      <c r="AB78" t="s">
        <v>291</v>
      </c>
      <c r="AD78" t="s">
        <v>1070</v>
      </c>
      <c r="AE78" t="s">
        <v>485</v>
      </c>
      <c r="AF78" t="s">
        <v>350</v>
      </c>
      <c r="AG78" t="s">
        <v>1340</v>
      </c>
      <c r="AH78" t="s">
        <v>837</v>
      </c>
      <c r="AI78" t="s">
        <v>1071</v>
      </c>
      <c r="AJ78" t="s">
        <v>986</v>
      </c>
    </row>
    <row r="79" spans="1:36" x14ac:dyDescent="0.2">
      <c r="A79" t="s">
        <v>273</v>
      </c>
      <c r="B79" s="1">
        <v>45999.843472222223</v>
      </c>
      <c r="C79" t="s">
        <v>1072</v>
      </c>
      <c r="D79" t="s">
        <v>1073</v>
      </c>
      <c r="E79" t="s">
        <v>1074</v>
      </c>
      <c r="F79" s="1">
        <v>45835</v>
      </c>
      <c r="G79">
        <v>1</v>
      </c>
      <c r="H79">
        <v>0</v>
      </c>
      <c r="I79" t="s">
        <v>274</v>
      </c>
      <c r="J79" t="s">
        <v>32</v>
      </c>
      <c r="K79" t="s">
        <v>276</v>
      </c>
      <c r="L79" t="s">
        <v>630</v>
      </c>
      <c r="M79" t="s">
        <v>381</v>
      </c>
      <c r="N79" t="s">
        <v>389</v>
      </c>
      <c r="O79" t="s">
        <v>390</v>
      </c>
      <c r="P79" t="s">
        <v>403</v>
      </c>
      <c r="Q79" t="s">
        <v>404</v>
      </c>
      <c r="R79" t="s">
        <v>284</v>
      </c>
      <c r="S79" t="s">
        <v>479</v>
      </c>
      <c r="T79" t="s">
        <v>286</v>
      </c>
      <c r="U79" t="s">
        <v>287</v>
      </c>
      <c r="V79" t="s">
        <v>318</v>
      </c>
      <c r="W79" t="s">
        <v>319</v>
      </c>
      <c r="X79">
        <v>104</v>
      </c>
      <c r="Y79" t="s">
        <v>1075</v>
      </c>
      <c r="Z79">
        <v>419.35500000000002</v>
      </c>
      <c r="AA79">
        <v>35.386000000000003</v>
      </c>
      <c r="AB79" t="s">
        <v>291</v>
      </c>
      <c r="AD79" t="s">
        <v>1076</v>
      </c>
      <c r="AE79" t="s">
        <v>485</v>
      </c>
      <c r="AF79" t="s">
        <v>350</v>
      </c>
      <c r="AG79" t="s">
        <v>1340</v>
      </c>
      <c r="AH79" t="s">
        <v>1077</v>
      </c>
      <c r="AI79" t="s">
        <v>1078</v>
      </c>
      <c r="AJ79" t="s">
        <v>986</v>
      </c>
    </row>
    <row r="80" spans="1:36" x14ac:dyDescent="0.2">
      <c r="A80" t="s">
        <v>273</v>
      </c>
      <c r="B80" s="1">
        <v>45999.843472222223</v>
      </c>
      <c r="C80" s="4" t="s">
        <v>1079</v>
      </c>
      <c r="D80" t="s">
        <v>1080</v>
      </c>
      <c r="E80" t="s">
        <v>1081</v>
      </c>
      <c r="F80" s="1">
        <v>45835.432673611111</v>
      </c>
      <c r="G80">
        <v>1</v>
      </c>
      <c r="H80">
        <v>0</v>
      </c>
      <c r="I80" t="s">
        <v>274</v>
      </c>
      <c r="J80" t="s">
        <v>32</v>
      </c>
      <c r="K80" t="s">
        <v>276</v>
      </c>
      <c r="L80" t="s">
        <v>630</v>
      </c>
      <c r="M80" t="s">
        <v>381</v>
      </c>
      <c r="N80" t="s">
        <v>399</v>
      </c>
      <c r="O80" s="4" t="s">
        <v>400</v>
      </c>
      <c r="P80" t="s">
        <v>401</v>
      </c>
      <c r="Q80" t="s">
        <v>402</v>
      </c>
      <c r="R80" t="s">
        <v>300</v>
      </c>
      <c r="S80" t="s">
        <v>479</v>
      </c>
      <c r="T80" t="s">
        <v>286</v>
      </c>
      <c r="U80" t="s">
        <v>287</v>
      </c>
      <c r="V80" t="s">
        <v>318</v>
      </c>
      <c r="W80" t="s">
        <v>319</v>
      </c>
      <c r="X80">
        <v>34</v>
      </c>
      <c r="Y80" t="s">
        <v>496</v>
      </c>
      <c r="Z80">
        <v>137.09700000000001</v>
      </c>
      <c r="AA80">
        <v>11.569000000000001</v>
      </c>
      <c r="AB80" t="s">
        <v>291</v>
      </c>
      <c r="AD80" t="s">
        <v>1082</v>
      </c>
      <c r="AE80" t="s">
        <v>497</v>
      </c>
      <c r="AF80" t="s">
        <v>350</v>
      </c>
      <c r="AG80" t="s">
        <v>1340</v>
      </c>
      <c r="AH80" t="s">
        <v>1083</v>
      </c>
      <c r="AI80" t="s">
        <v>1084</v>
      </c>
      <c r="AJ80" t="s">
        <v>986</v>
      </c>
    </row>
    <row r="81" spans="1:36" x14ac:dyDescent="0.2">
      <c r="A81" t="s">
        <v>273</v>
      </c>
      <c r="B81" s="1">
        <v>45999.843472222223</v>
      </c>
      <c r="C81" t="s">
        <v>692</v>
      </c>
      <c r="D81" t="s">
        <v>693</v>
      </c>
      <c r="E81" t="s">
        <v>694</v>
      </c>
      <c r="F81" s="1">
        <v>45838.409224537034</v>
      </c>
      <c r="G81">
        <v>1</v>
      </c>
      <c r="H81">
        <v>0</v>
      </c>
      <c r="I81" t="s">
        <v>274</v>
      </c>
      <c r="J81" t="s">
        <v>32</v>
      </c>
      <c r="K81" t="s">
        <v>276</v>
      </c>
      <c r="L81" t="s">
        <v>630</v>
      </c>
      <c r="M81" t="s">
        <v>381</v>
      </c>
      <c r="N81" t="s">
        <v>437</v>
      </c>
      <c r="O81" t="s">
        <v>438</v>
      </c>
      <c r="P81" t="s">
        <v>439</v>
      </c>
      <c r="Q81" t="s">
        <v>283</v>
      </c>
      <c r="R81" t="s">
        <v>284</v>
      </c>
      <c r="S81" t="s">
        <v>479</v>
      </c>
      <c r="T81" t="s">
        <v>286</v>
      </c>
      <c r="U81" t="s">
        <v>287</v>
      </c>
      <c r="V81" t="s">
        <v>318</v>
      </c>
      <c r="W81" t="s">
        <v>319</v>
      </c>
      <c r="X81">
        <v>12</v>
      </c>
      <c r="Y81" t="s">
        <v>498</v>
      </c>
      <c r="Z81">
        <v>48.387</v>
      </c>
      <c r="AA81">
        <v>4.0830000000000002</v>
      </c>
      <c r="AB81" t="s">
        <v>291</v>
      </c>
      <c r="AD81">
        <v>0</v>
      </c>
      <c r="AE81" t="s">
        <v>499</v>
      </c>
      <c r="AF81" t="s">
        <v>350</v>
      </c>
      <c r="AG81" t="s">
        <v>1340</v>
      </c>
      <c r="AH81" t="s">
        <v>695</v>
      </c>
      <c r="AI81" t="s">
        <v>1085</v>
      </c>
      <c r="AJ81" t="s">
        <v>986</v>
      </c>
    </row>
    <row r="82" spans="1:36" x14ac:dyDescent="0.2">
      <c r="A82" t="s">
        <v>273</v>
      </c>
      <c r="B82" s="1">
        <v>45999.843472222223</v>
      </c>
      <c r="C82" t="s">
        <v>838</v>
      </c>
      <c r="D82" t="s">
        <v>839</v>
      </c>
      <c r="E82" t="s">
        <v>559</v>
      </c>
      <c r="F82" s="1">
        <v>45838.704027777778</v>
      </c>
      <c r="G82">
        <v>1</v>
      </c>
      <c r="H82">
        <v>0</v>
      </c>
      <c r="I82" t="s">
        <v>274</v>
      </c>
      <c r="J82" t="s">
        <v>32</v>
      </c>
      <c r="K82" t="s">
        <v>276</v>
      </c>
      <c r="L82" t="s">
        <v>630</v>
      </c>
      <c r="M82" t="s">
        <v>345</v>
      </c>
      <c r="N82" t="s">
        <v>355</v>
      </c>
      <c r="O82" t="s">
        <v>356</v>
      </c>
      <c r="P82" t="s">
        <v>357</v>
      </c>
      <c r="Q82" t="s">
        <v>358</v>
      </c>
      <c r="R82" t="s">
        <v>300</v>
      </c>
      <c r="S82" t="s">
        <v>479</v>
      </c>
      <c r="T82" t="s">
        <v>286</v>
      </c>
      <c r="U82" t="s">
        <v>287</v>
      </c>
      <c r="V82" t="s">
        <v>318</v>
      </c>
      <c r="W82" t="s">
        <v>319</v>
      </c>
      <c r="X82">
        <v>35</v>
      </c>
      <c r="Y82" t="s">
        <v>500</v>
      </c>
      <c r="Z82">
        <v>141.12899999999999</v>
      </c>
      <c r="AA82">
        <v>11.909000000000001</v>
      </c>
      <c r="AB82" t="s">
        <v>291</v>
      </c>
      <c r="AD82" t="s">
        <v>1086</v>
      </c>
      <c r="AE82" t="s">
        <v>487</v>
      </c>
      <c r="AF82" t="s">
        <v>350</v>
      </c>
      <c r="AG82" t="s">
        <v>454</v>
      </c>
      <c r="AH82" t="s">
        <v>840</v>
      </c>
      <c r="AI82" t="s">
        <v>1087</v>
      </c>
      <c r="AJ82" t="s">
        <v>986</v>
      </c>
    </row>
    <row r="83" spans="1:36" x14ac:dyDescent="0.2">
      <c r="A83" t="s">
        <v>273</v>
      </c>
      <c r="B83" s="1">
        <v>45999.843472222223</v>
      </c>
      <c r="C83" t="s">
        <v>1088</v>
      </c>
      <c r="D83" t="s">
        <v>1089</v>
      </c>
      <c r="E83" t="s">
        <v>1090</v>
      </c>
      <c r="F83" s="1">
        <v>45838.726759259262</v>
      </c>
      <c r="G83">
        <v>1</v>
      </c>
      <c r="H83">
        <v>0</v>
      </c>
      <c r="I83" t="s">
        <v>274</v>
      </c>
      <c r="J83" t="s">
        <v>32</v>
      </c>
      <c r="K83" t="s">
        <v>276</v>
      </c>
      <c r="L83" t="s">
        <v>630</v>
      </c>
      <c r="M83" t="s">
        <v>345</v>
      </c>
      <c r="N83" t="s">
        <v>355</v>
      </c>
      <c r="O83" t="s">
        <v>356</v>
      </c>
      <c r="P83" t="s">
        <v>357</v>
      </c>
      <c r="Q83" t="s">
        <v>358</v>
      </c>
      <c r="R83" t="s">
        <v>300</v>
      </c>
      <c r="S83" t="s">
        <v>479</v>
      </c>
      <c r="T83" t="s">
        <v>286</v>
      </c>
      <c r="U83" t="s">
        <v>287</v>
      </c>
      <c r="V83" t="s">
        <v>318</v>
      </c>
      <c r="W83" t="s">
        <v>319</v>
      </c>
      <c r="X83">
        <v>59</v>
      </c>
      <c r="Y83" t="s">
        <v>506</v>
      </c>
      <c r="Z83">
        <v>237.90299999999999</v>
      </c>
      <c r="AA83">
        <v>20.074999999999999</v>
      </c>
      <c r="AB83" t="s">
        <v>291</v>
      </c>
      <c r="AD83" t="s">
        <v>1091</v>
      </c>
      <c r="AE83" t="s">
        <v>487</v>
      </c>
      <c r="AF83" t="s">
        <v>350</v>
      </c>
      <c r="AG83" t="s">
        <v>454</v>
      </c>
      <c r="AH83" t="s">
        <v>1092</v>
      </c>
      <c r="AI83" t="s">
        <v>1093</v>
      </c>
      <c r="AJ83" t="s">
        <v>986</v>
      </c>
    </row>
    <row r="84" spans="1:36" x14ac:dyDescent="0.2">
      <c r="A84" t="s">
        <v>273</v>
      </c>
      <c r="B84" s="1">
        <v>45999.843472222223</v>
      </c>
      <c r="C84" t="s">
        <v>1094</v>
      </c>
      <c r="D84" t="s">
        <v>1095</v>
      </c>
      <c r="E84" t="s">
        <v>1096</v>
      </c>
      <c r="F84" s="1">
        <v>45845.459282407406</v>
      </c>
      <c r="G84">
        <v>1</v>
      </c>
      <c r="H84">
        <v>0</v>
      </c>
      <c r="I84" t="s">
        <v>274</v>
      </c>
      <c r="J84" t="s">
        <v>32</v>
      </c>
      <c r="K84" t="s">
        <v>276</v>
      </c>
      <c r="L84" t="s">
        <v>630</v>
      </c>
      <c r="M84" t="s">
        <v>345</v>
      </c>
      <c r="N84" t="s">
        <v>501</v>
      </c>
      <c r="O84" t="s">
        <v>502</v>
      </c>
      <c r="P84" t="s">
        <v>503</v>
      </c>
      <c r="Q84" t="s">
        <v>504</v>
      </c>
      <c r="R84" t="s">
        <v>300</v>
      </c>
      <c r="S84" t="s">
        <v>479</v>
      </c>
      <c r="T84" t="s">
        <v>286</v>
      </c>
      <c r="U84" t="s">
        <v>287</v>
      </c>
      <c r="V84" t="s">
        <v>318</v>
      </c>
      <c r="W84" t="s">
        <v>319</v>
      </c>
      <c r="X84">
        <v>12</v>
      </c>
      <c r="Y84" t="s">
        <v>505</v>
      </c>
      <c r="Z84">
        <v>48.387</v>
      </c>
      <c r="AA84">
        <v>4.0830000000000002</v>
      </c>
      <c r="AB84" t="s">
        <v>291</v>
      </c>
      <c r="AD84" t="s">
        <v>1041</v>
      </c>
      <c r="AE84" t="s">
        <v>485</v>
      </c>
      <c r="AF84" t="s">
        <v>350</v>
      </c>
      <c r="AG84" t="s">
        <v>454</v>
      </c>
      <c r="AH84" t="s">
        <v>1097</v>
      </c>
      <c r="AI84" t="s">
        <v>1098</v>
      </c>
      <c r="AJ84" t="s">
        <v>986</v>
      </c>
    </row>
    <row r="85" spans="1:36" x14ac:dyDescent="0.2">
      <c r="A85" t="s">
        <v>273</v>
      </c>
      <c r="B85" s="1">
        <v>45999.843472222223</v>
      </c>
      <c r="C85" t="s">
        <v>1099</v>
      </c>
      <c r="D85" t="s">
        <v>1100</v>
      </c>
      <c r="E85" t="s">
        <v>379</v>
      </c>
      <c r="F85" s="1">
        <v>45852</v>
      </c>
      <c r="G85">
        <v>1</v>
      </c>
      <c r="H85">
        <v>0</v>
      </c>
      <c r="I85" t="s">
        <v>274</v>
      </c>
      <c r="J85" t="s">
        <v>32</v>
      </c>
      <c r="K85" t="s">
        <v>276</v>
      </c>
      <c r="L85" t="s">
        <v>630</v>
      </c>
      <c r="M85" t="s">
        <v>345</v>
      </c>
      <c r="N85" t="s">
        <v>490</v>
      </c>
      <c r="O85" t="s">
        <v>491</v>
      </c>
      <c r="P85" t="s">
        <v>492</v>
      </c>
      <c r="Q85" t="s">
        <v>493</v>
      </c>
      <c r="R85" t="s">
        <v>284</v>
      </c>
      <c r="S85" t="s">
        <v>479</v>
      </c>
      <c r="T85" t="s">
        <v>286</v>
      </c>
      <c r="U85" t="s">
        <v>287</v>
      </c>
      <c r="V85" t="s">
        <v>318</v>
      </c>
      <c r="W85" t="s">
        <v>319</v>
      </c>
      <c r="X85">
        <v>12</v>
      </c>
      <c r="Y85" t="s">
        <v>494</v>
      </c>
      <c r="Z85">
        <v>48.387</v>
      </c>
      <c r="AA85">
        <v>4.0830000000000002</v>
      </c>
      <c r="AB85" t="s">
        <v>291</v>
      </c>
      <c r="AD85" t="s">
        <v>1101</v>
      </c>
      <c r="AE85" t="s">
        <v>495</v>
      </c>
      <c r="AF85" t="s">
        <v>350</v>
      </c>
      <c r="AG85" t="s">
        <v>454</v>
      </c>
      <c r="AH85" t="s">
        <v>1102</v>
      </c>
      <c r="AI85" t="s">
        <v>1103</v>
      </c>
      <c r="AJ85" t="s">
        <v>986</v>
      </c>
    </row>
    <row r="86" spans="1:36" x14ac:dyDescent="0.2">
      <c r="A86" t="s">
        <v>273</v>
      </c>
      <c r="B86" s="1">
        <v>45999.843472222223</v>
      </c>
      <c r="C86" t="s">
        <v>858</v>
      </c>
      <c r="D86" t="s">
        <v>859</v>
      </c>
      <c r="E86" t="s">
        <v>860</v>
      </c>
      <c r="F86" s="1">
        <v>45863.425729166665</v>
      </c>
      <c r="G86">
        <v>1</v>
      </c>
      <c r="H86">
        <v>0</v>
      </c>
      <c r="I86" t="s">
        <v>274</v>
      </c>
      <c r="J86" t="s">
        <v>32</v>
      </c>
      <c r="K86" t="s">
        <v>276</v>
      </c>
      <c r="L86" t="s">
        <v>630</v>
      </c>
      <c r="M86" t="s">
        <v>381</v>
      </c>
      <c r="N86" t="s">
        <v>399</v>
      </c>
      <c r="O86" s="4" t="s">
        <v>400</v>
      </c>
      <c r="P86" t="s">
        <v>405</v>
      </c>
      <c r="Q86" t="s">
        <v>402</v>
      </c>
      <c r="R86" t="s">
        <v>300</v>
      </c>
      <c r="S86" t="s">
        <v>479</v>
      </c>
      <c r="T86" t="s">
        <v>286</v>
      </c>
      <c r="U86" t="s">
        <v>287</v>
      </c>
      <c r="V86" t="s">
        <v>318</v>
      </c>
      <c r="W86" t="s">
        <v>319</v>
      </c>
      <c r="X86">
        <v>23</v>
      </c>
      <c r="Y86" t="s">
        <v>508</v>
      </c>
      <c r="Z86">
        <v>92.742000000000004</v>
      </c>
      <c r="AA86">
        <v>7.8259999999999996</v>
      </c>
      <c r="AB86" t="s">
        <v>291</v>
      </c>
      <c r="AD86" t="s">
        <v>1104</v>
      </c>
      <c r="AE86" t="s">
        <v>497</v>
      </c>
      <c r="AF86" t="s">
        <v>350</v>
      </c>
      <c r="AG86" t="s">
        <v>454</v>
      </c>
      <c r="AH86" t="s">
        <v>862</v>
      </c>
      <c r="AI86" t="s">
        <v>1105</v>
      </c>
      <c r="AJ86" t="s">
        <v>986</v>
      </c>
    </row>
    <row r="87" spans="1:36" x14ac:dyDescent="0.2">
      <c r="A87" t="s">
        <v>273</v>
      </c>
      <c r="B87" s="1">
        <v>45999.843472222223</v>
      </c>
      <c r="C87" t="s">
        <v>1106</v>
      </c>
      <c r="D87" t="s">
        <v>1107</v>
      </c>
      <c r="E87" t="s">
        <v>1108</v>
      </c>
      <c r="F87" s="1">
        <v>45866.455960648149</v>
      </c>
      <c r="G87">
        <v>1</v>
      </c>
      <c r="H87">
        <v>0</v>
      </c>
      <c r="I87" t="s">
        <v>274</v>
      </c>
      <c r="J87" t="s">
        <v>32</v>
      </c>
      <c r="K87" t="s">
        <v>276</v>
      </c>
      <c r="L87" t="s">
        <v>630</v>
      </c>
      <c r="M87" t="s">
        <v>345</v>
      </c>
      <c r="N87" t="s">
        <v>501</v>
      </c>
      <c r="O87" t="s">
        <v>502</v>
      </c>
      <c r="P87" t="s">
        <v>503</v>
      </c>
      <c r="Q87" t="s">
        <v>504</v>
      </c>
      <c r="R87" t="s">
        <v>300</v>
      </c>
      <c r="S87" t="s">
        <v>479</v>
      </c>
      <c r="T87" t="s">
        <v>286</v>
      </c>
      <c r="U87" t="s">
        <v>287</v>
      </c>
      <c r="V87" t="s">
        <v>318</v>
      </c>
      <c r="W87" t="s">
        <v>319</v>
      </c>
      <c r="X87">
        <v>12</v>
      </c>
      <c r="Y87" t="s">
        <v>505</v>
      </c>
      <c r="Z87">
        <v>48.387</v>
      </c>
      <c r="AA87">
        <v>4.0830000000000002</v>
      </c>
      <c r="AB87" t="s">
        <v>291</v>
      </c>
      <c r="AD87" t="s">
        <v>1041</v>
      </c>
      <c r="AE87" t="s">
        <v>485</v>
      </c>
      <c r="AF87" t="s">
        <v>350</v>
      </c>
      <c r="AG87" t="s">
        <v>1344</v>
      </c>
      <c r="AH87" t="s">
        <v>1109</v>
      </c>
      <c r="AI87" t="s">
        <v>1110</v>
      </c>
      <c r="AJ87" t="s">
        <v>986</v>
      </c>
    </row>
    <row r="88" spans="1:36" x14ac:dyDescent="0.2">
      <c r="A88" t="s">
        <v>273</v>
      </c>
      <c r="B88" s="1">
        <v>45999.843472222223</v>
      </c>
      <c r="C88" t="s">
        <v>1111</v>
      </c>
      <c r="D88" t="s">
        <v>1112</v>
      </c>
      <c r="E88" t="s">
        <v>1113</v>
      </c>
      <c r="F88" s="1">
        <v>45867.502581018518</v>
      </c>
      <c r="G88">
        <v>1</v>
      </c>
      <c r="H88">
        <v>0</v>
      </c>
      <c r="I88" t="s">
        <v>274</v>
      </c>
      <c r="J88" t="s">
        <v>32</v>
      </c>
      <c r="K88" t="s">
        <v>276</v>
      </c>
      <c r="L88" t="s">
        <v>630</v>
      </c>
      <c r="M88" t="s">
        <v>381</v>
      </c>
      <c r="N88" t="s">
        <v>389</v>
      </c>
      <c r="O88" t="s">
        <v>390</v>
      </c>
      <c r="P88" t="s">
        <v>403</v>
      </c>
      <c r="Q88" t="s">
        <v>404</v>
      </c>
      <c r="R88" t="s">
        <v>284</v>
      </c>
      <c r="S88" t="s">
        <v>479</v>
      </c>
      <c r="T88" t="s">
        <v>286</v>
      </c>
      <c r="U88" t="s">
        <v>287</v>
      </c>
      <c r="V88" t="s">
        <v>318</v>
      </c>
      <c r="W88" t="s">
        <v>319</v>
      </c>
      <c r="X88">
        <v>106</v>
      </c>
      <c r="Y88" t="s">
        <v>507</v>
      </c>
      <c r="Z88">
        <v>427.41899999999998</v>
      </c>
      <c r="AA88">
        <v>36.067</v>
      </c>
      <c r="AB88" t="s">
        <v>291</v>
      </c>
      <c r="AD88" t="s">
        <v>1114</v>
      </c>
      <c r="AE88" t="s">
        <v>485</v>
      </c>
      <c r="AF88" t="s">
        <v>350</v>
      </c>
      <c r="AG88" t="s">
        <v>1344</v>
      </c>
      <c r="AH88" t="s">
        <v>1115</v>
      </c>
      <c r="AI88" t="s">
        <v>1116</v>
      </c>
      <c r="AJ88" t="s">
        <v>986</v>
      </c>
    </row>
    <row r="89" spans="1:36" x14ac:dyDescent="0.2">
      <c r="A89" t="s">
        <v>273</v>
      </c>
      <c r="B89" s="1">
        <v>45999.843472222223</v>
      </c>
      <c r="C89" t="s">
        <v>1117</v>
      </c>
      <c r="D89" t="s">
        <v>1118</v>
      </c>
      <c r="E89" t="s">
        <v>1119</v>
      </c>
      <c r="F89" s="1">
        <v>45884.432303240741</v>
      </c>
      <c r="G89">
        <v>1</v>
      </c>
      <c r="H89">
        <v>0</v>
      </c>
      <c r="I89" t="s">
        <v>274</v>
      </c>
      <c r="J89" t="s">
        <v>32</v>
      </c>
      <c r="K89" t="s">
        <v>276</v>
      </c>
      <c r="L89" t="s">
        <v>630</v>
      </c>
      <c r="M89" t="s">
        <v>345</v>
      </c>
      <c r="N89" t="s">
        <v>355</v>
      </c>
      <c r="O89" t="s">
        <v>356</v>
      </c>
      <c r="P89" t="s">
        <v>357</v>
      </c>
      <c r="Q89" t="s">
        <v>358</v>
      </c>
      <c r="R89" t="s">
        <v>300</v>
      </c>
      <c r="S89" t="s">
        <v>479</v>
      </c>
      <c r="T89" t="s">
        <v>286</v>
      </c>
      <c r="U89" t="s">
        <v>287</v>
      </c>
      <c r="V89" t="s">
        <v>318</v>
      </c>
      <c r="W89" t="s">
        <v>319</v>
      </c>
      <c r="X89">
        <v>60</v>
      </c>
      <c r="Y89" t="s">
        <v>509</v>
      </c>
      <c r="Z89">
        <v>241.935</v>
      </c>
      <c r="AA89">
        <v>20.414999999999999</v>
      </c>
      <c r="AB89" t="s">
        <v>291</v>
      </c>
      <c r="AD89" t="s">
        <v>621</v>
      </c>
      <c r="AE89" t="s">
        <v>510</v>
      </c>
      <c r="AF89" t="s">
        <v>350</v>
      </c>
      <c r="AG89" t="s">
        <v>1344</v>
      </c>
      <c r="AH89" t="s">
        <v>1120</v>
      </c>
      <c r="AI89" t="s">
        <v>1121</v>
      </c>
      <c r="AJ89" t="s">
        <v>986</v>
      </c>
    </row>
    <row r="90" spans="1:36" x14ac:dyDescent="0.2">
      <c r="A90" t="s">
        <v>273</v>
      </c>
      <c r="B90" s="1">
        <v>45999.843472222223</v>
      </c>
      <c r="C90" t="s">
        <v>1122</v>
      </c>
      <c r="D90" t="s">
        <v>1123</v>
      </c>
      <c r="E90" t="s">
        <v>1124</v>
      </c>
      <c r="F90" s="1">
        <v>45884.436493055553</v>
      </c>
      <c r="G90">
        <v>1</v>
      </c>
      <c r="H90">
        <v>0</v>
      </c>
      <c r="I90" t="s">
        <v>274</v>
      </c>
      <c r="J90" t="s">
        <v>32</v>
      </c>
      <c r="K90" t="s">
        <v>276</v>
      </c>
      <c r="L90" t="s">
        <v>630</v>
      </c>
      <c r="M90" t="s">
        <v>345</v>
      </c>
      <c r="N90" t="s">
        <v>355</v>
      </c>
      <c r="O90" t="s">
        <v>356</v>
      </c>
      <c r="P90" t="s">
        <v>357</v>
      </c>
      <c r="Q90" t="s">
        <v>358</v>
      </c>
      <c r="R90" t="s">
        <v>300</v>
      </c>
      <c r="S90" t="s">
        <v>479</v>
      </c>
      <c r="T90" t="s">
        <v>286</v>
      </c>
      <c r="U90" t="s">
        <v>287</v>
      </c>
      <c r="V90" t="s">
        <v>318</v>
      </c>
      <c r="W90" t="s">
        <v>319</v>
      </c>
      <c r="X90">
        <v>36</v>
      </c>
      <c r="Y90" t="s">
        <v>511</v>
      </c>
      <c r="Z90">
        <v>145.161</v>
      </c>
      <c r="AA90">
        <v>12.249000000000001</v>
      </c>
      <c r="AB90" t="s">
        <v>291</v>
      </c>
      <c r="AD90" t="s">
        <v>1125</v>
      </c>
      <c r="AE90" t="s">
        <v>510</v>
      </c>
      <c r="AF90" t="s">
        <v>350</v>
      </c>
      <c r="AG90" t="s">
        <v>1344</v>
      </c>
      <c r="AH90" t="s">
        <v>1126</v>
      </c>
      <c r="AI90" t="s">
        <v>1127</v>
      </c>
      <c r="AJ90" t="s">
        <v>986</v>
      </c>
    </row>
    <row r="91" spans="1:36" x14ac:dyDescent="0.2">
      <c r="A91" t="s">
        <v>273</v>
      </c>
      <c r="B91" s="1">
        <v>45999.843472222223</v>
      </c>
      <c r="C91" t="s">
        <v>1128</v>
      </c>
      <c r="D91" t="s">
        <v>1129</v>
      </c>
      <c r="E91" t="s">
        <v>1130</v>
      </c>
      <c r="F91" s="1">
        <v>45887.458009259259</v>
      </c>
      <c r="G91">
        <v>1</v>
      </c>
      <c r="H91">
        <v>0</v>
      </c>
      <c r="I91" t="s">
        <v>274</v>
      </c>
      <c r="J91" t="s">
        <v>32</v>
      </c>
      <c r="K91" t="s">
        <v>276</v>
      </c>
      <c r="L91" t="s">
        <v>630</v>
      </c>
      <c r="M91" t="s">
        <v>345</v>
      </c>
      <c r="N91" t="s">
        <v>501</v>
      </c>
      <c r="O91" t="s">
        <v>502</v>
      </c>
      <c r="P91" t="s">
        <v>503</v>
      </c>
      <c r="Q91" t="s">
        <v>504</v>
      </c>
      <c r="R91" t="s">
        <v>300</v>
      </c>
      <c r="S91" t="s">
        <v>479</v>
      </c>
      <c r="T91" t="s">
        <v>286</v>
      </c>
      <c r="U91" t="s">
        <v>287</v>
      </c>
      <c r="V91" t="s">
        <v>318</v>
      </c>
      <c r="W91" t="s">
        <v>319</v>
      </c>
      <c r="X91">
        <v>9</v>
      </c>
      <c r="Y91" t="s">
        <v>513</v>
      </c>
      <c r="Z91">
        <v>36.29</v>
      </c>
      <c r="AA91">
        <v>3.0619999999999998</v>
      </c>
      <c r="AB91" t="s">
        <v>291</v>
      </c>
      <c r="AD91" t="s">
        <v>1131</v>
      </c>
      <c r="AE91" t="s">
        <v>485</v>
      </c>
      <c r="AF91" t="s">
        <v>350</v>
      </c>
      <c r="AG91" t="s">
        <v>1344</v>
      </c>
      <c r="AH91" t="s">
        <v>1132</v>
      </c>
      <c r="AI91" t="s">
        <v>1133</v>
      </c>
      <c r="AJ91" t="s">
        <v>986</v>
      </c>
    </row>
    <row r="92" spans="1:36" x14ac:dyDescent="0.2">
      <c r="A92" t="s">
        <v>273</v>
      </c>
      <c r="B92" s="1">
        <v>45999.843472222223</v>
      </c>
      <c r="C92" t="s">
        <v>1134</v>
      </c>
      <c r="D92" t="s">
        <v>1135</v>
      </c>
      <c r="E92" t="s">
        <v>1136</v>
      </c>
      <c r="F92" s="1">
        <v>45898.636666666665</v>
      </c>
      <c r="G92">
        <v>1</v>
      </c>
      <c r="H92">
        <v>0</v>
      </c>
      <c r="I92" t="s">
        <v>274</v>
      </c>
      <c r="J92" t="s">
        <v>32</v>
      </c>
      <c r="K92" t="s">
        <v>276</v>
      </c>
      <c r="L92" t="s">
        <v>630</v>
      </c>
      <c r="M92" t="s">
        <v>345</v>
      </c>
      <c r="N92" t="s">
        <v>355</v>
      </c>
      <c r="O92" t="s">
        <v>356</v>
      </c>
      <c r="P92" t="s">
        <v>357</v>
      </c>
      <c r="Q92" t="s">
        <v>358</v>
      </c>
      <c r="R92" t="s">
        <v>300</v>
      </c>
      <c r="S92" t="s">
        <v>479</v>
      </c>
      <c r="T92" t="s">
        <v>286</v>
      </c>
      <c r="U92" t="s">
        <v>287</v>
      </c>
      <c r="V92" t="s">
        <v>318</v>
      </c>
      <c r="W92" t="s">
        <v>319</v>
      </c>
      <c r="X92">
        <v>87</v>
      </c>
      <c r="Y92" t="s">
        <v>514</v>
      </c>
      <c r="Z92">
        <v>350.80599999999998</v>
      </c>
      <c r="AA92">
        <v>29.602</v>
      </c>
      <c r="AB92" t="s">
        <v>291</v>
      </c>
      <c r="AD92" t="s">
        <v>1137</v>
      </c>
      <c r="AE92" t="s">
        <v>510</v>
      </c>
      <c r="AF92" t="s">
        <v>350</v>
      </c>
      <c r="AG92" t="s">
        <v>1344</v>
      </c>
      <c r="AH92" t="s">
        <v>1138</v>
      </c>
      <c r="AI92" t="s">
        <v>1139</v>
      </c>
      <c r="AJ92" t="s">
        <v>986</v>
      </c>
    </row>
    <row r="93" spans="1:36" x14ac:dyDescent="0.2">
      <c r="A93" t="s">
        <v>273</v>
      </c>
      <c r="B93" s="1">
        <v>45999.843472222223</v>
      </c>
      <c r="C93" t="s">
        <v>1140</v>
      </c>
      <c r="D93" t="s">
        <v>1141</v>
      </c>
      <c r="E93" t="s">
        <v>1142</v>
      </c>
      <c r="F93" s="1">
        <v>45905.404409722221</v>
      </c>
      <c r="G93">
        <v>1</v>
      </c>
      <c r="H93">
        <v>0</v>
      </c>
      <c r="I93" t="s">
        <v>274</v>
      </c>
      <c r="J93" t="s">
        <v>32</v>
      </c>
      <c r="K93" t="s">
        <v>276</v>
      </c>
      <c r="L93" t="s">
        <v>630</v>
      </c>
      <c r="M93" t="s">
        <v>381</v>
      </c>
      <c r="N93" t="s">
        <v>399</v>
      </c>
      <c r="O93" s="4" t="s">
        <v>400</v>
      </c>
      <c r="P93" t="s">
        <v>405</v>
      </c>
      <c r="Q93" t="s">
        <v>402</v>
      </c>
      <c r="R93" t="s">
        <v>300</v>
      </c>
      <c r="S93" t="s">
        <v>479</v>
      </c>
      <c r="T93" t="s">
        <v>286</v>
      </c>
      <c r="U93" t="s">
        <v>287</v>
      </c>
      <c r="V93" t="s">
        <v>318</v>
      </c>
      <c r="W93" t="s">
        <v>319</v>
      </c>
      <c r="X93">
        <v>23</v>
      </c>
      <c r="Y93" t="s">
        <v>508</v>
      </c>
      <c r="Z93">
        <v>92.742000000000004</v>
      </c>
      <c r="AA93">
        <v>7.8259999999999996</v>
      </c>
      <c r="AB93" t="s">
        <v>291</v>
      </c>
      <c r="AD93" t="s">
        <v>1143</v>
      </c>
      <c r="AE93" t="s">
        <v>497</v>
      </c>
      <c r="AF93" t="s">
        <v>350</v>
      </c>
      <c r="AG93" t="s">
        <v>1344</v>
      </c>
      <c r="AH93" t="s">
        <v>1144</v>
      </c>
      <c r="AI93" t="s">
        <v>1145</v>
      </c>
      <c r="AJ93" t="s">
        <v>986</v>
      </c>
    </row>
    <row r="94" spans="1:36" x14ac:dyDescent="0.2">
      <c r="A94" t="s">
        <v>273</v>
      </c>
      <c r="B94" s="1">
        <v>45999.843472222223</v>
      </c>
      <c r="C94" t="s">
        <v>1146</v>
      </c>
      <c r="D94" t="s">
        <v>1147</v>
      </c>
      <c r="E94" t="s">
        <v>1148</v>
      </c>
      <c r="F94" s="1">
        <v>45929.445937500001</v>
      </c>
      <c r="G94">
        <v>1</v>
      </c>
      <c r="H94">
        <v>0</v>
      </c>
      <c r="I94" t="s">
        <v>274</v>
      </c>
      <c r="J94" t="s">
        <v>32</v>
      </c>
      <c r="K94" t="s">
        <v>276</v>
      </c>
      <c r="L94" t="s">
        <v>630</v>
      </c>
      <c r="M94" t="s">
        <v>345</v>
      </c>
      <c r="N94" t="s">
        <v>501</v>
      </c>
      <c r="O94" t="s">
        <v>502</v>
      </c>
      <c r="P94" t="s">
        <v>503</v>
      </c>
      <c r="Q94" t="s">
        <v>504</v>
      </c>
      <c r="R94" t="s">
        <v>300</v>
      </c>
      <c r="S94" t="s">
        <v>479</v>
      </c>
      <c r="T94" t="s">
        <v>286</v>
      </c>
      <c r="U94" t="s">
        <v>287</v>
      </c>
      <c r="V94" t="s">
        <v>318</v>
      </c>
      <c r="W94" t="s">
        <v>319</v>
      </c>
      <c r="X94">
        <v>22</v>
      </c>
      <c r="Y94" t="s">
        <v>516</v>
      </c>
      <c r="Z94">
        <v>88.71</v>
      </c>
      <c r="AA94">
        <v>7.4859999999999998</v>
      </c>
      <c r="AB94" t="s">
        <v>291</v>
      </c>
      <c r="AD94" t="s">
        <v>1149</v>
      </c>
      <c r="AE94" t="s">
        <v>517</v>
      </c>
      <c r="AF94" t="s">
        <v>350</v>
      </c>
      <c r="AG94" t="s">
        <v>1344</v>
      </c>
      <c r="AH94" t="s">
        <v>1150</v>
      </c>
      <c r="AI94" t="s">
        <v>1151</v>
      </c>
      <c r="AJ94" t="s">
        <v>986</v>
      </c>
    </row>
    <row r="95" spans="1:36" x14ac:dyDescent="0.2">
      <c r="A95" t="s">
        <v>273</v>
      </c>
      <c r="B95" s="1">
        <v>45999.843472222223</v>
      </c>
      <c r="C95" t="s">
        <v>1152</v>
      </c>
      <c r="D95" t="s">
        <v>1153</v>
      </c>
      <c r="E95" t="s">
        <v>1154</v>
      </c>
      <c r="F95" s="1">
        <v>45929.676863425928</v>
      </c>
      <c r="G95">
        <v>1</v>
      </c>
      <c r="H95">
        <v>0</v>
      </c>
      <c r="I95" t="s">
        <v>274</v>
      </c>
      <c r="J95" t="s">
        <v>32</v>
      </c>
      <c r="K95" t="s">
        <v>276</v>
      </c>
      <c r="L95" t="s">
        <v>630</v>
      </c>
      <c r="M95" t="s">
        <v>381</v>
      </c>
      <c r="N95" t="s">
        <v>389</v>
      </c>
      <c r="O95" t="s">
        <v>390</v>
      </c>
      <c r="P95" t="s">
        <v>403</v>
      </c>
      <c r="Q95" t="s">
        <v>404</v>
      </c>
      <c r="R95" t="s">
        <v>284</v>
      </c>
      <c r="S95" t="s">
        <v>479</v>
      </c>
      <c r="T95" t="s">
        <v>286</v>
      </c>
      <c r="U95" t="s">
        <v>287</v>
      </c>
      <c r="V95" t="s">
        <v>318</v>
      </c>
      <c r="W95" t="s">
        <v>319</v>
      </c>
      <c r="X95">
        <v>155</v>
      </c>
      <c r="Y95" t="s">
        <v>515</v>
      </c>
      <c r="Z95">
        <v>625</v>
      </c>
      <c r="AA95">
        <v>52.738999999999997</v>
      </c>
      <c r="AB95" t="s">
        <v>291</v>
      </c>
      <c r="AD95" t="s">
        <v>1155</v>
      </c>
      <c r="AE95" t="s">
        <v>485</v>
      </c>
      <c r="AF95" t="s">
        <v>350</v>
      </c>
      <c r="AG95" t="s">
        <v>1344</v>
      </c>
      <c r="AH95" t="s">
        <v>1156</v>
      </c>
      <c r="AI95" t="s">
        <v>1157</v>
      </c>
      <c r="AJ95" t="s">
        <v>986</v>
      </c>
    </row>
    <row r="96" spans="1:36" x14ac:dyDescent="0.2">
      <c r="A96" t="s">
        <v>273</v>
      </c>
      <c r="B96" s="1">
        <v>45999.843472222223</v>
      </c>
      <c r="C96" t="s">
        <v>1158</v>
      </c>
      <c r="D96" t="s">
        <v>1159</v>
      </c>
      <c r="E96" t="s">
        <v>1160</v>
      </c>
      <c r="F96" s="1">
        <v>45930.537129629629</v>
      </c>
      <c r="G96">
        <v>1</v>
      </c>
      <c r="H96">
        <v>0</v>
      </c>
      <c r="I96" t="s">
        <v>274</v>
      </c>
      <c r="J96" t="s">
        <v>32</v>
      </c>
      <c r="K96" t="s">
        <v>276</v>
      </c>
      <c r="L96" t="s">
        <v>630</v>
      </c>
      <c r="M96" t="s">
        <v>345</v>
      </c>
      <c r="N96" t="s">
        <v>355</v>
      </c>
      <c r="O96" t="s">
        <v>356</v>
      </c>
      <c r="P96" t="s">
        <v>357</v>
      </c>
      <c r="Q96" t="s">
        <v>358</v>
      </c>
      <c r="R96" t="s">
        <v>300</v>
      </c>
      <c r="S96" t="s">
        <v>479</v>
      </c>
      <c r="T96" t="s">
        <v>286</v>
      </c>
      <c r="U96" t="s">
        <v>287</v>
      </c>
      <c r="V96" t="s">
        <v>318</v>
      </c>
      <c r="W96" t="s">
        <v>319</v>
      </c>
      <c r="X96">
        <v>60</v>
      </c>
      <c r="Y96" t="s">
        <v>509</v>
      </c>
      <c r="Z96">
        <v>241.935</v>
      </c>
      <c r="AA96">
        <v>20.414999999999999</v>
      </c>
      <c r="AB96" t="s">
        <v>291</v>
      </c>
      <c r="AD96" t="s">
        <v>621</v>
      </c>
      <c r="AE96" t="s">
        <v>510</v>
      </c>
      <c r="AF96" t="s">
        <v>350</v>
      </c>
      <c r="AG96" t="s">
        <v>1344</v>
      </c>
      <c r="AH96" t="s">
        <v>1161</v>
      </c>
      <c r="AI96" t="s">
        <v>1162</v>
      </c>
      <c r="AJ96" t="s">
        <v>986</v>
      </c>
    </row>
    <row r="97" spans="1:36" x14ac:dyDescent="0.2">
      <c r="A97" t="s">
        <v>273</v>
      </c>
      <c r="B97" s="1">
        <v>46006.74491898148</v>
      </c>
      <c r="C97" t="s">
        <v>1163</v>
      </c>
      <c r="D97" t="s">
        <v>1164</v>
      </c>
      <c r="E97" t="s">
        <v>1165</v>
      </c>
      <c r="F97" s="1">
        <v>45982.513692129629</v>
      </c>
      <c r="G97">
        <v>1</v>
      </c>
      <c r="H97">
        <v>0</v>
      </c>
      <c r="I97" t="s">
        <v>274</v>
      </c>
      <c r="J97" t="s">
        <v>32</v>
      </c>
      <c r="K97" t="s">
        <v>276</v>
      </c>
      <c r="L97" t="s">
        <v>630</v>
      </c>
      <c r="M97" t="s">
        <v>345</v>
      </c>
      <c r="N97" t="s">
        <v>501</v>
      </c>
      <c r="O97" t="s">
        <v>502</v>
      </c>
      <c r="P97" t="s">
        <v>503</v>
      </c>
      <c r="Q97" t="s">
        <v>504</v>
      </c>
      <c r="R97" t="s">
        <v>284</v>
      </c>
      <c r="S97" t="s">
        <v>479</v>
      </c>
      <c r="T97" t="s">
        <v>286</v>
      </c>
      <c r="U97" t="s">
        <v>287</v>
      </c>
      <c r="V97" t="s">
        <v>318</v>
      </c>
      <c r="W97" t="s">
        <v>319</v>
      </c>
      <c r="X97">
        <v>24</v>
      </c>
      <c r="Y97" t="s">
        <v>527</v>
      </c>
      <c r="Z97">
        <v>96.774000000000001</v>
      </c>
      <c r="AA97">
        <v>8.1660000000000004</v>
      </c>
      <c r="AB97" t="s">
        <v>291</v>
      </c>
      <c r="AD97" t="s">
        <v>1054</v>
      </c>
      <c r="AE97" t="s">
        <v>485</v>
      </c>
      <c r="AF97" t="s">
        <v>350</v>
      </c>
      <c r="AG97" t="s">
        <v>586</v>
      </c>
      <c r="AH97" t="s">
        <v>1166</v>
      </c>
      <c r="AI97" t="s">
        <v>1167</v>
      </c>
      <c r="AJ97" t="s">
        <v>986</v>
      </c>
    </row>
    <row r="98" spans="1:36" x14ac:dyDescent="0.2">
      <c r="A98" t="s">
        <v>273</v>
      </c>
      <c r="B98" s="1">
        <v>45999.843472222223</v>
      </c>
      <c r="C98" t="s">
        <v>931</v>
      </c>
      <c r="D98" t="s">
        <v>932</v>
      </c>
      <c r="E98" t="s">
        <v>933</v>
      </c>
      <c r="F98" s="1">
        <v>45940.441099537034</v>
      </c>
      <c r="G98">
        <v>1</v>
      </c>
      <c r="H98">
        <v>0</v>
      </c>
      <c r="I98" t="s">
        <v>274</v>
      </c>
      <c r="J98" t="s">
        <v>32</v>
      </c>
      <c r="K98" t="s">
        <v>276</v>
      </c>
      <c r="L98" t="s">
        <v>630</v>
      </c>
      <c r="M98" t="s">
        <v>345</v>
      </c>
      <c r="N98" t="s">
        <v>355</v>
      </c>
      <c r="O98" t="s">
        <v>356</v>
      </c>
      <c r="P98" t="s">
        <v>357</v>
      </c>
      <c r="Q98" t="s">
        <v>358</v>
      </c>
      <c r="R98" t="s">
        <v>300</v>
      </c>
      <c r="S98" t="s">
        <v>479</v>
      </c>
      <c r="T98" t="s">
        <v>286</v>
      </c>
      <c r="U98" t="s">
        <v>287</v>
      </c>
      <c r="V98" t="s">
        <v>318</v>
      </c>
      <c r="W98" t="s">
        <v>319</v>
      </c>
      <c r="X98">
        <v>28</v>
      </c>
      <c r="Y98" t="s">
        <v>518</v>
      </c>
      <c r="Z98">
        <v>112.90300000000001</v>
      </c>
      <c r="AA98">
        <v>9.5269999999999992</v>
      </c>
      <c r="AB98" t="s">
        <v>291</v>
      </c>
      <c r="AD98" t="s">
        <v>1168</v>
      </c>
      <c r="AE98" t="s">
        <v>510</v>
      </c>
      <c r="AF98" t="s">
        <v>350</v>
      </c>
      <c r="AG98" t="s">
        <v>586</v>
      </c>
      <c r="AH98" t="s">
        <v>934</v>
      </c>
      <c r="AI98" t="s">
        <v>1169</v>
      </c>
      <c r="AJ98" t="s">
        <v>986</v>
      </c>
    </row>
    <row r="99" spans="1:36" x14ac:dyDescent="0.2">
      <c r="A99" t="s">
        <v>273</v>
      </c>
      <c r="B99" s="1">
        <v>45999.843472222223</v>
      </c>
      <c r="C99" t="s">
        <v>1170</v>
      </c>
      <c r="D99" t="s">
        <v>1171</v>
      </c>
      <c r="E99" t="s">
        <v>1172</v>
      </c>
      <c r="F99" s="1">
        <v>45947.393877314818</v>
      </c>
      <c r="G99">
        <v>1</v>
      </c>
      <c r="H99">
        <v>0</v>
      </c>
      <c r="I99" t="s">
        <v>274</v>
      </c>
      <c r="J99" t="s">
        <v>32</v>
      </c>
      <c r="K99" t="s">
        <v>276</v>
      </c>
      <c r="L99" t="s">
        <v>630</v>
      </c>
      <c r="M99" t="s">
        <v>345</v>
      </c>
      <c r="N99" t="s">
        <v>501</v>
      </c>
      <c r="O99" t="s">
        <v>502</v>
      </c>
      <c r="P99" t="s">
        <v>503</v>
      </c>
      <c r="Q99" t="s">
        <v>504</v>
      </c>
      <c r="R99" t="s">
        <v>300</v>
      </c>
      <c r="S99" t="s">
        <v>479</v>
      </c>
      <c r="T99" t="s">
        <v>286</v>
      </c>
      <c r="U99" t="s">
        <v>287</v>
      </c>
      <c r="V99" t="s">
        <v>318</v>
      </c>
      <c r="W99" t="s">
        <v>319</v>
      </c>
      <c r="X99">
        <v>24</v>
      </c>
      <c r="Y99" t="s">
        <v>523</v>
      </c>
      <c r="Z99">
        <v>96.774000000000001</v>
      </c>
      <c r="AA99">
        <v>8.1660000000000004</v>
      </c>
      <c r="AB99" t="s">
        <v>291</v>
      </c>
      <c r="AD99" t="s">
        <v>1173</v>
      </c>
      <c r="AE99" t="s">
        <v>524</v>
      </c>
      <c r="AF99" t="s">
        <v>350</v>
      </c>
      <c r="AG99" t="s">
        <v>586</v>
      </c>
      <c r="AH99" t="s">
        <v>1174</v>
      </c>
      <c r="AI99" t="s">
        <v>1175</v>
      </c>
      <c r="AJ99" t="s">
        <v>986</v>
      </c>
    </row>
    <row r="100" spans="1:36" x14ac:dyDescent="0.2">
      <c r="A100" t="s">
        <v>273</v>
      </c>
      <c r="B100" s="1">
        <v>45999.843472222223</v>
      </c>
      <c r="C100" t="s">
        <v>1176</v>
      </c>
      <c r="D100" t="s">
        <v>1177</v>
      </c>
      <c r="E100" t="s">
        <v>1178</v>
      </c>
      <c r="F100" s="1">
        <v>45957.592013888891</v>
      </c>
      <c r="G100">
        <v>1</v>
      </c>
      <c r="H100">
        <v>0</v>
      </c>
      <c r="I100" t="s">
        <v>274</v>
      </c>
      <c r="J100" t="s">
        <v>32</v>
      </c>
      <c r="K100" t="s">
        <v>276</v>
      </c>
      <c r="L100" t="s">
        <v>630</v>
      </c>
      <c r="M100" t="s">
        <v>345</v>
      </c>
      <c r="N100" t="s">
        <v>355</v>
      </c>
      <c r="O100" t="s">
        <v>356</v>
      </c>
      <c r="P100" t="s">
        <v>357</v>
      </c>
      <c r="Q100" t="s">
        <v>358</v>
      </c>
      <c r="R100" t="s">
        <v>300</v>
      </c>
      <c r="S100" t="s">
        <v>479</v>
      </c>
      <c r="T100" t="s">
        <v>286</v>
      </c>
      <c r="U100" t="s">
        <v>287</v>
      </c>
      <c r="V100" t="s">
        <v>318</v>
      </c>
      <c r="W100" t="s">
        <v>319</v>
      </c>
      <c r="X100">
        <v>70</v>
      </c>
      <c r="Y100" t="s">
        <v>521</v>
      </c>
      <c r="Z100">
        <v>282.25799999999998</v>
      </c>
      <c r="AA100">
        <v>23.818000000000001</v>
      </c>
      <c r="AB100" t="s">
        <v>291</v>
      </c>
      <c r="AD100" t="s">
        <v>1179</v>
      </c>
      <c r="AE100" t="s">
        <v>510</v>
      </c>
      <c r="AF100" t="s">
        <v>350</v>
      </c>
      <c r="AG100" t="s">
        <v>586</v>
      </c>
      <c r="AH100" t="s">
        <v>1180</v>
      </c>
      <c r="AI100" t="s">
        <v>1181</v>
      </c>
      <c r="AJ100" t="s">
        <v>986</v>
      </c>
    </row>
    <row r="101" spans="1:36" x14ac:dyDescent="0.2">
      <c r="A101" t="s">
        <v>273</v>
      </c>
      <c r="B101" s="1">
        <v>45999.843472222223</v>
      </c>
      <c r="C101" t="s">
        <v>1182</v>
      </c>
      <c r="D101" t="s">
        <v>1183</v>
      </c>
      <c r="E101" t="s">
        <v>1184</v>
      </c>
      <c r="F101" s="1">
        <v>45957.611435185187</v>
      </c>
      <c r="G101">
        <v>1</v>
      </c>
      <c r="H101">
        <v>0</v>
      </c>
      <c r="I101" t="s">
        <v>274</v>
      </c>
      <c r="J101" t="s">
        <v>32</v>
      </c>
      <c r="K101" t="s">
        <v>276</v>
      </c>
      <c r="L101" t="s">
        <v>630</v>
      </c>
      <c r="M101" t="s">
        <v>345</v>
      </c>
      <c r="N101" t="s">
        <v>355</v>
      </c>
      <c r="O101" t="s">
        <v>356</v>
      </c>
      <c r="P101" t="s">
        <v>357</v>
      </c>
      <c r="Q101" t="s">
        <v>358</v>
      </c>
      <c r="R101" t="s">
        <v>300</v>
      </c>
      <c r="S101" t="s">
        <v>479</v>
      </c>
      <c r="T101" t="s">
        <v>286</v>
      </c>
      <c r="U101" t="s">
        <v>287</v>
      </c>
      <c r="V101" t="s">
        <v>318</v>
      </c>
      <c r="W101" t="s">
        <v>319</v>
      </c>
      <c r="X101">
        <v>8</v>
      </c>
      <c r="Y101" t="s">
        <v>519</v>
      </c>
      <c r="Z101">
        <v>32.258000000000003</v>
      </c>
      <c r="AA101">
        <v>2.722</v>
      </c>
      <c r="AB101" t="s">
        <v>291</v>
      </c>
      <c r="AD101" t="s">
        <v>1185</v>
      </c>
      <c r="AE101" t="s">
        <v>510</v>
      </c>
      <c r="AF101" t="s">
        <v>350</v>
      </c>
      <c r="AG101" t="s">
        <v>586</v>
      </c>
      <c r="AH101" t="s">
        <v>1186</v>
      </c>
      <c r="AI101" t="s">
        <v>1169</v>
      </c>
      <c r="AJ101" t="s">
        <v>986</v>
      </c>
    </row>
    <row r="102" spans="1:36" x14ac:dyDescent="0.2">
      <c r="A102" t="s">
        <v>273</v>
      </c>
      <c r="B102" s="1">
        <v>45999.843472222223</v>
      </c>
      <c r="C102" t="s">
        <v>1187</v>
      </c>
      <c r="D102" t="s">
        <v>1188</v>
      </c>
      <c r="E102" t="s">
        <v>1189</v>
      </c>
      <c r="F102" s="1">
        <v>45957.618564814817</v>
      </c>
      <c r="G102">
        <v>1</v>
      </c>
      <c r="H102">
        <v>0</v>
      </c>
      <c r="I102" t="s">
        <v>274</v>
      </c>
      <c r="J102" t="s">
        <v>32</v>
      </c>
      <c r="K102" t="s">
        <v>276</v>
      </c>
      <c r="L102" t="s">
        <v>630</v>
      </c>
      <c r="M102" t="s">
        <v>345</v>
      </c>
      <c r="N102" t="s">
        <v>501</v>
      </c>
      <c r="O102" t="s">
        <v>502</v>
      </c>
      <c r="P102" t="s">
        <v>503</v>
      </c>
      <c r="Q102" t="s">
        <v>504</v>
      </c>
      <c r="R102" t="s">
        <v>300</v>
      </c>
      <c r="S102" t="s">
        <v>479</v>
      </c>
      <c r="T102" t="s">
        <v>286</v>
      </c>
      <c r="U102" t="s">
        <v>287</v>
      </c>
      <c r="V102" t="s">
        <v>318</v>
      </c>
      <c r="W102" t="s">
        <v>319</v>
      </c>
      <c r="X102">
        <v>35</v>
      </c>
      <c r="Y102" t="s">
        <v>525</v>
      </c>
      <c r="Z102">
        <v>141.12899999999999</v>
      </c>
      <c r="AA102">
        <v>11.909000000000001</v>
      </c>
      <c r="AB102" t="s">
        <v>291</v>
      </c>
      <c r="AD102" t="s">
        <v>1190</v>
      </c>
      <c r="AE102" t="s">
        <v>524</v>
      </c>
      <c r="AF102" t="s">
        <v>350</v>
      </c>
      <c r="AG102" t="s">
        <v>586</v>
      </c>
      <c r="AH102" t="s">
        <v>1191</v>
      </c>
      <c r="AI102" t="s">
        <v>1192</v>
      </c>
      <c r="AJ102" t="s">
        <v>986</v>
      </c>
    </row>
    <row r="103" spans="1:36" x14ac:dyDescent="0.2">
      <c r="A103" t="s">
        <v>273</v>
      </c>
      <c r="B103" s="1">
        <v>45999.843472222223</v>
      </c>
      <c r="C103" t="s">
        <v>946</v>
      </c>
      <c r="D103" t="s">
        <v>947</v>
      </c>
      <c r="E103" t="s">
        <v>948</v>
      </c>
      <c r="F103" s="1">
        <v>45958.445648148147</v>
      </c>
      <c r="G103">
        <v>1</v>
      </c>
      <c r="H103">
        <v>0</v>
      </c>
      <c r="I103" t="s">
        <v>274</v>
      </c>
      <c r="J103" t="s">
        <v>32</v>
      </c>
      <c r="K103" t="s">
        <v>276</v>
      </c>
      <c r="L103" t="s">
        <v>630</v>
      </c>
      <c r="M103" t="s">
        <v>381</v>
      </c>
      <c r="N103" t="s">
        <v>389</v>
      </c>
      <c r="O103" t="s">
        <v>390</v>
      </c>
      <c r="P103" t="s">
        <v>403</v>
      </c>
      <c r="Q103" t="s">
        <v>404</v>
      </c>
      <c r="R103" t="s">
        <v>284</v>
      </c>
      <c r="S103" t="s">
        <v>479</v>
      </c>
      <c r="T103" t="s">
        <v>286</v>
      </c>
      <c r="U103" t="s">
        <v>287</v>
      </c>
      <c r="V103" t="s">
        <v>318</v>
      </c>
      <c r="W103" t="s">
        <v>319</v>
      </c>
      <c r="X103">
        <v>107</v>
      </c>
      <c r="Y103" t="s">
        <v>526</v>
      </c>
      <c r="Z103">
        <v>431.452</v>
      </c>
      <c r="AA103">
        <v>36.406999999999996</v>
      </c>
      <c r="AB103" t="s">
        <v>291</v>
      </c>
      <c r="AC103" t="s">
        <v>293</v>
      </c>
      <c r="AD103" t="s">
        <v>1193</v>
      </c>
      <c r="AE103" t="s">
        <v>485</v>
      </c>
      <c r="AF103" t="s">
        <v>350</v>
      </c>
      <c r="AG103" t="s">
        <v>586</v>
      </c>
      <c r="AH103" t="s">
        <v>949</v>
      </c>
      <c r="AI103" t="s">
        <v>1194</v>
      </c>
      <c r="AJ103" t="s">
        <v>986</v>
      </c>
    </row>
    <row r="104" spans="1:36" x14ac:dyDescent="0.2">
      <c r="A104" t="s">
        <v>273</v>
      </c>
      <c r="B104" s="1">
        <v>45999.843472222223</v>
      </c>
      <c r="C104" t="s">
        <v>1195</v>
      </c>
      <c r="D104" t="s">
        <v>1196</v>
      </c>
      <c r="E104" t="s">
        <v>1197</v>
      </c>
      <c r="F104" s="1">
        <v>45959.548784722225</v>
      </c>
      <c r="G104">
        <v>1</v>
      </c>
      <c r="H104">
        <v>0</v>
      </c>
      <c r="I104" t="s">
        <v>274</v>
      </c>
      <c r="J104" t="s">
        <v>32</v>
      </c>
      <c r="K104" t="s">
        <v>276</v>
      </c>
      <c r="L104" t="s">
        <v>630</v>
      </c>
      <c r="M104" t="s">
        <v>345</v>
      </c>
      <c r="N104" t="s">
        <v>490</v>
      </c>
      <c r="O104" t="s">
        <v>491</v>
      </c>
      <c r="P104" t="s">
        <v>492</v>
      </c>
      <c r="Q104" t="s">
        <v>493</v>
      </c>
      <c r="R104" t="s">
        <v>284</v>
      </c>
      <c r="S104" t="s">
        <v>479</v>
      </c>
      <c r="T104" t="s">
        <v>286</v>
      </c>
      <c r="U104" t="s">
        <v>287</v>
      </c>
      <c r="V104" t="s">
        <v>318</v>
      </c>
      <c r="W104" t="s">
        <v>319</v>
      </c>
      <c r="X104">
        <v>12</v>
      </c>
      <c r="Y104" t="s">
        <v>494</v>
      </c>
      <c r="Z104">
        <v>48.387</v>
      </c>
      <c r="AA104">
        <v>4.0830000000000002</v>
      </c>
      <c r="AB104" t="s">
        <v>291</v>
      </c>
      <c r="AC104" t="s">
        <v>520</v>
      </c>
      <c r="AD104" t="s">
        <v>1101</v>
      </c>
      <c r="AE104" t="s">
        <v>495</v>
      </c>
      <c r="AF104" t="s">
        <v>350</v>
      </c>
      <c r="AG104" t="s">
        <v>586</v>
      </c>
      <c r="AH104" t="s">
        <v>1198</v>
      </c>
      <c r="AI104" t="s">
        <v>1199</v>
      </c>
      <c r="AJ104" t="s">
        <v>986</v>
      </c>
    </row>
    <row r="105" spans="1:36" x14ac:dyDescent="0.2">
      <c r="A105" t="s">
        <v>273</v>
      </c>
      <c r="B105" s="1">
        <v>45999.843472222223</v>
      </c>
      <c r="C105" t="s">
        <v>950</v>
      </c>
      <c r="D105" t="s">
        <v>951</v>
      </c>
      <c r="E105" t="s">
        <v>952</v>
      </c>
      <c r="F105" s="1">
        <v>45978.460358796299</v>
      </c>
      <c r="G105">
        <v>1</v>
      </c>
      <c r="H105">
        <v>0</v>
      </c>
      <c r="I105" t="s">
        <v>274</v>
      </c>
      <c r="J105" t="s">
        <v>32</v>
      </c>
      <c r="K105" t="s">
        <v>276</v>
      </c>
      <c r="L105" t="s">
        <v>630</v>
      </c>
      <c r="M105" t="s">
        <v>345</v>
      </c>
      <c r="N105" t="s">
        <v>355</v>
      </c>
      <c r="O105" t="s">
        <v>356</v>
      </c>
      <c r="P105" t="s">
        <v>357</v>
      </c>
      <c r="Q105" t="s">
        <v>358</v>
      </c>
      <c r="R105" t="s">
        <v>300</v>
      </c>
      <c r="S105" t="s">
        <v>479</v>
      </c>
      <c r="T105" t="s">
        <v>286</v>
      </c>
      <c r="U105" t="s">
        <v>287</v>
      </c>
      <c r="V105" t="s">
        <v>318</v>
      </c>
      <c r="W105" t="s">
        <v>319</v>
      </c>
      <c r="X105">
        <v>104</v>
      </c>
      <c r="Y105" t="s">
        <v>528</v>
      </c>
      <c r="Z105">
        <v>419.35500000000002</v>
      </c>
      <c r="AA105">
        <v>35.386000000000003</v>
      </c>
      <c r="AB105" t="s">
        <v>291</v>
      </c>
      <c r="AD105" t="s">
        <v>1049</v>
      </c>
      <c r="AE105" t="s">
        <v>487</v>
      </c>
      <c r="AF105" t="s">
        <v>350</v>
      </c>
      <c r="AG105" t="s">
        <v>586</v>
      </c>
      <c r="AH105" t="s">
        <v>953</v>
      </c>
      <c r="AI105" t="s">
        <v>1200</v>
      </c>
      <c r="AJ105" t="s">
        <v>986</v>
      </c>
    </row>
    <row r="106" spans="1:36" x14ac:dyDescent="0.2">
      <c r="A106" t="s">
        <v>273</v>
      </c>
      <c r="B106" s="1">
        <v>46013.536597222221</v>
      </c>
      <c r="C106" t="s">
        <v>1201</v>
      </c>
      <c r="D106" t="s">
        <v>1202</v>
      </c>
      <c r="E106" t="s">
        <v>1203</v>
      </c>
      <c r="F106" s="1">
        <v>45982</v>
      </c>
      <c r="G106">
        <v>1</v>
      </c>
      <c r="H106">
        <v>0</v>
      </c>
      <c r="I106" t="s">
        <v>274</v>
      </c>
      <c r="J106" t="s">
        <v>32</v>
      </c>
      <c r="K106" t="s">
        <v>276</v>
      </c>
      <c r="L106" t="s">
        <v>630</v>
      </c>
      <c r="M106" t="s">
        <v>381</v>
      </c>
      <c r="N106" t="s">
        <v>399</v>
      </c>
      <c r="O106" s="4" t="s">
        <v>400</v>
      </c>
      <c r="P106" t="s">
        <v>405</v>
      </c>
      <c r="Q106" t="s">
        <v>402</v>
      </c>
      <c r="R106" t="s">
        <v>300</v>
      </c>
      <c r="S106" t="s">
        <v>479</v>
      </c>
      <c r="T106" t="s">
        <v>286</v>
      </c>
      <c r="U106" t="s">
        <v>287</v>
      </c>
      <c r="V106" t="s">
        <v>318</v>
      </c>
      <c r="W106" t="s">
        <v>319</v>
      </c>
      <c r="X106">
        <v>25</v>
      </c>
      <c r="Y106" t="s">
        <v>512</v>
      </c>
      <c r="Z106">
        <v>100.806</v>
      </c>
      <c r="AA106">
        <v>8.5060000000000002</v>
      </c>
      <c r="AB106" t="s">
        <v>291</v>
      </c>
      <c r="AD106" t="s">
        <v>1204</v>
      </c>
      <c r="AE106" t="s">
        <v>497</v>
      </c>
      <c r="AF106" t="s">
        <v>350</v>
      </c>
      <c r="AG106" t="s">
        <v>586</v>
      </c>
      <c r="AH106" t="s">
        <v>1205</v>
      </c>
      <c r="AI106" t="s">
        <v>1206</v>
      </c>
      <c r="AJ106" t="s">
        <v>986</v>
      </c>
    </row>
    <row r="107" spans="1:36" x14ac:dyDescent="0.2">
      <c r="A107" t="s">
        <v>273</v>
      </c>
      <c r="B107" s="1">
        <v>46083.601018518515</v>
      </c>
      <c r="C107" t="s">
        <v>1207</v>
      </c>
      <c r="D107" t="s">
        <v>1208</v>
      </c>
      <c r="E107" t="s">
        <v>130</v>
      </c>
      <c r="F107" s="1">
        <v>46080.516539351855</v>
      </c>
      <c r="G107">
        <v>1</v>
      </c>
      <c r="H107">
        <v>0</v>
      </c>
      <c r="I107" t="s">
        <v>274</v>
      </c>
      <c r="J107" t="s">
        <v>32</v>
      </c>
      <c r="K107" t="s">
        <v>276</v>
      </c>
      <c r="L107" t="s">
        <v>630</v>
      </c>
      <c r="M107" t="s">
        <v>345</v>
      </c>
      <c r="N107" t="s">
        <v>389</v>
      </c>
      <c r="O107" t="s">
        <v>390</v>
      </c>
      <c r="P107" t="s">
        <v>406</v>
      </c>
      <c r="Q107" t="s">
        <v>404</v>
      </c>
      <c r="R107" t="s">
        <v>284</v>
      </c>
      <c r="S107" t="s">
        <v>479</v>
      </c>
      <c r="T107" t="s">
        <v>286</v>
      </c>
      <c r="U107" t="s">
        <v>287</v>
      </c>
      <c r="V107" t="s">
        <v>318</v>
      </c>
      <c r="W107" t="s">
        <v>319</v>
      </c>
      <c r="X107">
        <v>58</v>
      </c>
      <c r="Y107" t="s">
        <v>522</v>
      </c>
      <c r="Z107">
        <v>233.87100000000001</v>
      </c>
      <c r="AA107">
        <v>170.46199999999999</v>
      </c>
      <c r="AB107" t="s">
        <v>291</v>
      </c>
      <c r="AD107" t="s">
        <v>1209</v>
      </c>
      <c r="AE107" t="s">
        <v>481</v>
      </c>
      <c r="AF107" t="s">
        <v>350</v>
      </c>
      <c r="AG107" t="s">
        <v>1348</v>
      </c>
      <c r="AH107" t="s">
        <v>1210</v>
      </c>
      <c r="AI107" t="s">
        <v>1211</v>
      </c>
      <c r="AJ107" t="s">
        <v>986</v>
      </c>
    </row>
    <row r="108" spans="1:36" x14ac:dyDescent="0.2">
      <c r="A108" t="s">
        <v>273</v>
      </c>
      <c r="B108" s="1">
        <v>46084.684351851851</v>
      </c>
      <c r="C108" t="s">
        <v>983</v>
      </c>
      <c r="D108" t="s">
        <v>984</v>
      </c>
      <c r="E108" t="s">
        <v>127</v>
      </c>
      <c r="F108" s="1">
        <v>46080.691157407404</v>
      </c>
      <c r="G108">
        <v>1</v>
      </c>
      <c r="H108">
        <v>0</v>
      </c>
      <c r="I108" t="s">
        <v>274</v>
      </c>
      <c r="J108" t="s">
        <v>32</v>
      </c>
      <c r="K108" t="s">
        <v>276</v>
      </c>
      <c r="L108" t="s">
        <v>630</v>
      </c>
      <c r="M108" t="s">
        <v>345</v>
      </c>
      <c r="N108" t="s">
        <v>355</v>
      </c>
      <c r="O108" t="s">
        <v>356</v>
      </c>
      <c r="P108" t="s">
        <v>410</v>
      </c>
      <c r="Q108" t="s">
        <v>358</v>
      </c>
      <c r="R108" t="s">
        <v>300</v>
      </c>
      <c r="S108" t="s">
        <v>479</v>
      </c>
      <c r="T108" t="s">
        <v>286</v>
      </c>
      <c r="U108" t="s">
        <v>287</v>
      </c>
      <c r="V108" t="s">
        <v>318</v>
      </c>
      <c r="W108" t="s">
        <v>319</v>
      </c>
      <c r="X108">
        <v>43</v>
      </c>
      <c r="Y108" t="s">
        <v>535</v>
      </c>
      <c r="Z108">
        <v>173.387</v>
      </c>
      <c r="AA108">
        <v>126.377</v>
      </c>
      <c r="AB108" t="s">
        <v>291</v>
      </c>
      <c r="AD108" t="s">
        <v>1212</v>
      </c>
      <c r="AE108" t="s">
        <v>510</v>
      </c>
      <c r="AF108" t="s">
        <v>350</v>
      </c>
      <c r="AG108" t="s">
        <v>1348</v>
      </c>
      <c r="AH108" t="s">
        <v>985</v>
      </c>
      <c r="AI108" t="s">
        <v>1213</v>
      </c>
      <c r="AJ108" t="s">
        <v>986</v>
      </c>
    </row>
    <row r="109" spans="1:36" x14ac:dyDescent="0.2">
      <c r="A109" t="s">
        <v>273</v>
      </c>
      <c r="B109" s="1">
        <v>46084.684351851851</v>
      </c>
      <c r="C109" t="s">
        <v>1214</v>
      </c>
      <c r="D109" t="s">
        <v>1215</v>
      </c>
      <c r="E109" t="s">
        <v>121</v>
      </c>
      <c r="F109" s="1">
        <v>46080.694027777776</v>
      </c>
      <c r="G109">
        <v>1</v>
      </c>
      <c r="H109">
        <v>0</v>
      </c>
      <c r="I109" t="s">
        <v>274</v>
      </c>
      <c r="J109" t="s">
        <v>32</v>
      </c>
      <c r="K109" t="s">
        <v>276</v>
      </c>
      <c r="L109" t="s">
        <v>630</v>
      </c>
      <c r="M109" t="s">
        <v>345</v>
      </c>
      <c r="N109" t="s">
        <v>355</v>
      </c>
      <c r="O109" t="s">
        <v>356</v>
      </c>
      <c r="P109" t="s">
        <v>410</v>
      </c>
      <c r="Q109" t="s">
        <v>358</v>
      </c>
      <c r="R109" t="s">
        <v>300</v>
      </c>
      <c r="S109" t="s">
        <v>479</v>
      </c>
      <c r="T109" t="s">
        <v>286</v>
      </c>
      <c r="U109" t="s">
        <v>287</v>
      </c>
      <c r="V109" t="s">
        <v>318</v>
      </c>
      <c r="W109" t="s">
        <v>319</v>
      </c>
      <c r="X109">
        <v>79</v>
      </c>
      <c r="Y109" t="s">
        <v>534</v>
      </c>
      <c r="Z109">
        <v>318.548</v>
      </c>
      <c r="AA109">
        <v>232.18100000000001</v>
      </c>
      <c r="AB109" t="s">
        <v>291</v>
      </c>
      <c r="AD109" t="s">
        <v>1216</v>
      </c>
      <c r="AE109" t="s">
        <v>510</v>
      </c>
      <c r="AF109" t="s">
        <v>350</v>
      </c>
      <c r="AG109" t="s">
        <v>1348</v>
      </c>
      <c r="AH109" t="s">
        <v>1217</v>
      </c>
      <c r="AI109" t="s">
        <v>1218</v>
      </c>
      <c r="AJ109" t="s">
        <v>986</v>
      </c>
    </row>
    <row r="110" spans="1:36" x14ac:dyDescent="0.2">
      <c r="A110" t="s">
        <v>273</v>
      </c>
      <c r="B110" s="1">
        <v>45999.843472222223</v>
      </c>
      <c r="C110" t="s">
        <v>1219</v>
      </c>
      <c r="D110" t="s">
        <v>1220</v>
      </c>
      <c r="E110" t="s">
        <v>1221</v>
      </c>
      <c r="F110" s="1">
        <v>45791.518425925926</v>
      </c>
      <c r="G110">
        <v>1</v>
      </c>
      <c r="H110">
        <v>0</v>
      </c>
      <c r="I110" t="s">
        <v>274</v>
      </c>
      <c r="J110" t="s">
        <v>32</v>
      </c>
      <c r="K110" t="s">
        <v>276</v>
      </c>
      <c r="L110" t="s">
        <v>630</v>
      </c>
      <c r="M110" t="s">
        <v>332</v>
      </c>
      <c r="N110" t="s">
        <v>333</v>
      </c>
      <c r="O110" t="s">
        <v>334</v>
      </c>
      <c r="P110" t="s">
        <v>335</v>
      </c>
      <c r="Q110" t="s">
        <v>336</v>
      </c>
      <c r="R110" t="s">
        <v>337</v>
      </c>
      <c r="S110" t="s">
        <v>338</v>
      </c>
      <c r="T110" t="s">
        <v>286</v>
      </c>
      <c r="U110" t="s">
        <v>287</v>
      </c>
      <c r="V110" t="s">
        <v>339</v>
      </c>
      <c r="W110" t="s">
        <v>340</v>
      </c>
      <c r="X110">
        <v>156</v>
      </c>
      <c r="Y110" t="s">
        <v>341</v>
      </c>
      <c r="Z110">
        <v>647.303</v>
      </c>
      <c r="AA110">
        <v>0</v>
      </c>
      <c r="AB110" t="s">
        <v>342</v>
      </c>
      <c r="AD110" t="s">
        <v>1222</v>
      </c>
      <c r="AE110">
        <v>365.05</v>
      </c>
      <c r="AF110" t="s">
        <v>343</v>
      </c>
      <c r="AG110" t="s">
        <v>1348</v>
      </c>
      <c r="AH110" t="s">
        <v>1223</v>
      </c>
      <c r="AI110" t="s">
        <v>1224</v>
      </c>
      <c r="AJ110" t="s">
        <v>1225</v>
      </c>
    </row>
    <row r="111" spans="1:36" x14ac:dyDescent="0.2">
      <c r="A111" t="s">
        <v>273</v>
      </c>
      <c r="B111" s="1">
        <v>46000.640104166669</v>
      </c>
      <c r="C111" t="s">
        <v>1226</v>
      </c>
      <c r="D111" t="s">
        <v>1227</v>
      </c>
      <c r="E111" t="s">
        <v>1228</v>
      </c>
      <c r="F111" s="1">
        <v>45989.721759259257</v>
      </c>
      <c r="G111">
        <v>1</v>
      </c>
      <c r="H111">
        <v>0</v>
      </c>
      <c r="I111" t="s">
        <v>274</v>
      </c>
      <c r="J111" t="s">
        <v>32</v>
      </c>
      <c r="K111" t="s">
        <v>276</v>
      </c>
      <c r="L111" t="s">
        <v>630</v>
      </c>
      <c r="M111" t="s">
        <v>345</v>
      </c>
      <c r="N111" t="s">
        <v>355</v>
      </c>
      <c r="O111" t="s">
        <v>356</v>
      </c>
      <c r="P111" t="s">
        <v>357</v>
      </c>
      <c r="Q111" t="s">
        <v>358</v>
      </c>
      <c r="R111" t="s">
        <v>300</v>
      </c>
      <c r="S111" t="s">
        <v>546</v>
      </c>
      <c r="T111" t="s">
        <v>286</v>
      </c>
      <c r="U111" t="s">
        <v>287</v>
      </c>
      <c r="V111" t="s">
        <v>318</v>
      </c>
      <c r="W111" t="s">
        <v>319</v>
      </c>
      <c r="X111">
        <v>57</v>
      </c>
      <c r="Y111" t="s">
        <v>549</v>
      </c>
      <c r="Z111">
        <v>229.839</v>
      </c>
      <c r="AA111">
        <v>19.393999999999998</v>
      </c>
      <c r="AB111" t="s">
        <v>291</v>
      </c>
      <c r="AC111" t="s">
        <v>349</v>
      </c>
      <c r="AD111" t="s">
        <v>1229</v>
      </c>
      <c r="AE111" t="s">
        <v>548</v>
      </c>
      <c r="AF111" t="s">
        <v>350</v>
      </c>
      <c r="AG111" t="s">
        <v>1348</v>
      </c>
      <c r="AH111" t="s">
        <v>1230</v>
      </c>
      <c r="AI111" t="s">
        <v>1231</v>
      </c>
      <c r="AJ111" t="s">
        <v>1232</v>
      </c>
    </row>
    <row r="112" spans="1:36" x14ac:dyDescent="0.2">
      <c r="A112" t="s">
        <v>273</v>
      </c>
      <c r="B112" s="1">
        <v>46010.536597222221</v>
      </c>
      <c r="C112" t="s">
        <v>1233</v>
      </c>
      <c r="D112" t="s">
        <v>1234</v>
      </c>
      <c r="E112" t="s">
        <v>1235</v>
      </c>
      <c r="F112" s="1">
        <v>46010.455590277779</v>
      </c>
      <c r="G112">
        <v>1</v>
      </c>
      <c r="H112">
        <v>0</v>
      </c>
      <c r="I112" t="s">
        <v>274</v>
      </c>
      <c r="J112" t="s">
        <v>32</v>
      </c>
      <c r="K112" t="s">
        <v>276</v>
      </c>
      <c r="L112" t="s">
        <v>630</v>
      </c>
      <c r="M112" t="s">
        <v>345</v>
      </c>
      <c r="N112" t="s">
        <v>355</v>
      </c>
      <c r="O112" t="s">
        <v>356</v>
      </c>
      <c r="P112" t="s">
        <v>357</v>
      </c>
      <c r="Q112" t="s">
        <v>358</v>
      </c>
      <c r="R112" t="s">
        <v>300</v>
      </c>
      <c r="S112" t="s">
        <v>546</v>
      </c>
      <c r="T112" t="s">
        <v>286</v>
      </c>
      <c r="U112" t="s">
        <v>287</v>
      </c>
      <c r="V112" t="s">
        <v>318</v>
      </c>
      <c r="W112" t="s">
        <v>319</v>
      </c>
      <c r="X112">
        <v>32</v>
      </c>
      <c r="Y112" t="s">
        <v>550</v>
      </c>
      <c r="Z112">
        <v>129.03200000000001</v>
      </c>
      <c r="AA112">
        <v>10.888</v>
      </c>
      <c r="AB112" t="s">
        <v>291</v>
      </c>
      <c r="AD112" t="s">
        <v>1236</v>
      </c>
      <c r="AE112" t="s">
        <v>547</v>
      </c>
      <c r="AF112" t="s">
        <v>350</v>
      </c>
      <c r="AG112" t="s">
        <v>1348</v>
      </c>
      <c r="AH112" t="s">
        <v>1237</v>
      </c>
      <c r="AI112" t="s">
        <v>1238</v>
      </c>
      <c r="AJ112" t="s">
        <v>1232</v>
      </c>
    </row>
    <row r="113" spans="1:36" x14ac:dyDescent="0.2">
      <c r="A113" t="s">
        <v>273</v>
      </c>
      <c r="B113" s="1">
        <v>46038.469664351855</v>
      </c>
      <c r="C113" t="s">
        <v>1239</v>
      </c>
      <c r="D113" t="s">
        <v>1240</v>
      </c>
      <c r="E113" t="s">
        <v>1241</v>
      </c>
      <c r="F113" s="1">
        <v>46021.520532407405</v>
      </c>
      <c r="G113">
        <v>1</v>
      </c>
      <c r="H113">
        <v>0</v>
      </c>
      <c r="I113" t="s">
        <v>274</v>
      </c>
      <c r="J113" t="s">
        <v>32</v>
      </c>
      <c r="K113" t="s">
        <v>276</v>
      </c>
      <c r="L113" t="s">
        <v>630</v>
      </c>
      <c r="M113" t="s">
        <v>345</v>
      </c>
      <c r="N113" t="s">
        <v>355</v>
      </c>
      <c r="O113" t="s">
        <v>356</v>
      </c>
      <c r="P113" t="s">
        <v>357</v>
      </c>
      <c r="Q113" t="s">
        <v>358</v>
      </c>
      <c r="R113" t="s">
        <v>300</v>
      </c>
      <c r="S113" t="s">
        <v>546</v>
      </c>
      <c r="T113" t="s">
        <v>286</v>
      </c>
      <c r="U113" t="s">
        <v>287</v>
      </c>
      <c r="V113" t="s">
        <v>318</v>
      </c>
      <c r="W113" t="s">
        <v>319</v>
      </c>
      <c r="X113">
        <v>3</v>
      </c>
      <c r="Y113" t="s">
        <v>553</v>
      </c>
      <c r="Z113">
        <v>12.097</v>
      </c>
      <c r="AA113">
        <v>1.0209999999999999</v>
      </c>
      <c r="AB113" t="s">
        <v>291</v>
      </c>
      <c r="AD113">
        <v>913</v>
      </c>
      <c r="AE113" t="s">
        <v>547</v>
      </c>
      <c r="AF113" t="s">
        <v>350</v>
      </c>
      <c r="AG113" t="s">
        <v>1348</v>
      </c>
      <c r="AH113" t="s">
        <v>1242</v>
      </c>
      <c r="AI113" t="s">
        <v>1238</v>
      </c>
      <c r="AJ113" t="s">
        <v>1232</v>
      </c>
    </row>
    <row r="114" spans="1:36" x14ac:dyDescent="0.2">
      <c r="A114" t="s">
        <v>273</v>
      </c>
      <c r="B114" s="1">
        <v>46084.684351851851</v>
      </c>
      <c r="C114" t="s">
        <v>983</v>
      </c>
      <c r="D114" t="s">
        <v>984</v>
      </c>
      <c r="E114" t="s">
        <v>127</v>
      </c>
      <c r="F114" s="1">
        <v>46080.691157407404</v>
      </c>
      <c r="G114">
        <v>1</v>
      </c>
      <c r="H114">
        <v>0</v>
      </c>
      <c r="I114" t="s">
        <v>274</v>
      </c>
      <c r="J114" t="s">
        <v>32</v>
      </c>
      <c r="K114" t="s">
        <v>276</v>
      </c>
      <c r="L114" t="s">
        <v>630</v>
      </c>
      <c r="M114" t="s">
        <v>345</v>
      </c>
      <c r="N114" t="s">
        <v>355</v>
      </c>
      <c r="O114" t="s">
        <v>356</v>
      </c>
      <c r="P114" t="s">
        <v>410</v>
      </c>
      <c r="Q114" t="s">
        <v>358</v>
      </c>
      <c r="R114" t="s">
        <v>300</v>
      </c>
      <c r="S114" t="s">
        <v>546</v>
      </c>
      <c r="T114" t="s">
        <v>286</v>
      </c>
      <c r="U114" t="s">
        <v>287</v>
      </c>
      <c r="V114" t="s">
        <v>318</v>
      </c>
      <c r="W114" t="s">
        <v>319</v>
      </c>
      <c r="X114">
        <v>86</v>
      </c>
      <c r="Y114" t="s">
        <v>552</v>
      </c>
      <c r="Z114">
        <v>346.774</v>
      </c>
      <c r="AA114">
        <v>252.75399999999999</v>
      </c>
      <c r="AB114" t="s">
        <v>291</v>
      </c>
      <c r="AD114" t="s">
        <v>1243</v>
      </c>
      <c r="AE114" t="s">
        <v>551</v>
      </c>
      <c r="AF114" t="s">
        <v>350</v>
      </c>
      <c r="AG114" t="s">
        <v>1348</v>
      </c>
      <c r="AH114" t="s">
        <v>985</v>
      </c>
      <c r="AI114" t="s">
        <v>1244</v>
      </c>
      <c r="AJ114" t="s">
        <v>1232</v>
      </c>
    </row>
    <row r="115" spans="1:36" x14ac:dyDescent="0.2">
      <c r="A115" t="s">
        <v>273</v>
      </c>
      <c r="B115" s="1">
        <v>45999.843472222223</v>
      </c>
      <c r="C115" t="s">
        <v>1245</v>
      </c>
      <c r="D115" t="s">
        <v>1246</v>
      </c>
      <c r="E115" t="s">
        <v>1247</v>
      </c>
      <c r="F115" s="1">
        <v>45917.61755787037</v>
      </c>
      <c r="G115">
        <v>1</v>
      </c>
      <c r="H115">
        <v>0</v>
      </c>
      <c r="I115" t="s">
        <v>274</v>
      </c>
      <c r="J115" t="s">
        <v>32</v>
      </c>
      <c r="K115" t="s">
        <v>276</v>
      </c>
      <c r="L115" t="s">
        <v>630</v>
      </c>
      <c r="M115" t="s">
        <v>367</v>
      </c>
      <c r="N115" t="s">
        <v>371</v>
      </c>
      <c r="O115" t="s">
        <v>372</v>
      </c>
      <c r="P115" t="s">
        <v>373</v>
      </c>
      <c r="Q115" t="s">
        <v>374</v>
      </c>
      <c r="R115" t="s">
        <v>284</v>
      </c>
      <c r="S115" t="s">
        <v>375</v>
      </c>
      <c r="T115" t="s">
        <v>376</v>
      </c>
      <c r="U115" t="s">
        <v>376</v>
      </c>
      <c r="V115" t="s">
        <v>318</v>
      </c>
      <c r="W115" t="s">
        <v>319</v>
      </c>
      <c r="X115">
        <v>31</v>
      </c>
      <c r="Y115" t="s">
        <v>377</v>
      </c>
      <c r="Z115">
        <v>31</v>
      </c>
      <c r="AA115">
        <v>0</v>
      </c>
      <c r="AB115" t="s">
        <v>378</v>
      </c>
      <c r="AD115" t="s">
        <v>1248</v>
      </c>
      <c r="AE115">
        <v>978</v>
      </c>
      <c r="AF115" t="s">
        <v>310</v>
      </c>
      <c r="AG115" t="s">
        <v>1286</v>
      </c>
      <c r="AH115" t="s">
        <v>1249</v>
      </c>
      <c r="AI115" t="s">
        <v>1250</v>
      </c>
      <c r="AJ115" t="s">
        <v>1251</v>
      </c>
    </row>
    <row r="116" spans="1:36" x14ac:dyDescent="0.2">
      <c r="A116" t="s">
        <v>273</v>
      </c>
      <c r="B116" s="1">
        <v>46001.698495370372</v>
      </c>
      <c r="C116" t="s">
        <v>1252</v>
      </c>
      <c r="D116" t="s">
        <v>1253</v>
      </c>
      <c r="E116" t="s">
        <v>1254</v>
      </c>
      <c r="F116" s="1">
        <v>46001.497766203705</v>
      </c>
      <c r="G116">
        <v>1</v>
      </c>
      <c r="H116">
        <v>0</v>
      </c>
      <c r="I116" t="s">
        <v>274</v>
      </c>
      <c r="J116" t="s">
        <v>32</v>
      </c>
      <c r="K116" t="s">
        <v>276</v>
      </c>
      <c r="L116" t="s">
        <v>630</v>
      </c>
      <c r="M116" t="s">
        <v>412</v>
      </c>
      <c r="N116" t="s">
        <v>570</v>
      </c>
      <c r="O116" t="s">
        <v>571</v>
      </c>
      <c r="P116" t="s">
        <v>572</v>
      </c>
      <c r="Q116" t="s">
        <v>556</v>
      </c>
      <c r="R116" t="s">
        <v>284</v>
      </c>
      <c r="S116" t="s">
        <v>568</v>
      </c>
      <c r="T116" t="s">
        <v>569</v>
      </c>
      <c r="U116" t="s">
        <v>569</v>
      </c>
      <c r="V116" t="s">
        <v>295</v>
      </c>
      <c r="X116">
        <v>1</v>
      </c>
      <c r="Y116" t="s">
        <v>573</v>
      </c>
      <c r="Z116">
        <v>1</v>
      </c>
      <c r="AA116">
        <v>0</v>
      </c>
      <c r="AB116" t="s">
        <v>555</v>
      </c>
      <c r="AD116" t="s">
        <v>1255</v>
      </c>
      <c r="AE116" t="s">
        <v>573</v>
      </c>
      <c r="AF116" t="s">
        <v>310</v>
      </c>
      <c r="AG116" t="s">
        <v>1286</v>
      </c>
      <c r="AH116" t="s">
        <v>1256</v>
      </c>
      <c r="AI116" t="s">
        <v>1257</v>
      </c>
      <c r="AJ116" t="s">
        <v>1258</v>
      </c>
    </row>
    <row r="117" spans="1:36" x14ac:dyDescent="0.2">
      <c r="A117" t="s">
        <v>273</v>
      </c>
      <c r="B117" s="1">
        <v>46043.726851851854</v>
      </c>
      <c r="C117" t="s">
        <v>1259</v>
      </c>
      <c r="D117" t="s">
        <v>1260</v>
      </c>
      <c r="E117" t="s">
        <v>1261</v>
      </c>
      <c r="F117" s="1">
        <v>46008.390185185184</v>
      </c>
      <c r="G117">
        <v>1</v>
      </c>
      <c r="H117">
        <v>0</v>
      </c>
      <c r="I117" t="s">
        <v>274</v>
      </c>
      <c r="J117" t="s">
        <v>32</v>
      </c>
      <c r="K117" t="s">
        <v>276</v>
      </c>
      <c r="L117" t="s">
        <v>630</v>
      </c>
      <c r="M117" t="s">
        <v>323</v>
      </c>
      <c r="N117" t="s">
        <v>564</v>
      </c>
      <c r="O117" t="s">
        <v>565</v>
      </c>
      <c r="P117" t="s">
        <v>566</v>
      </c>
      <c r="Q117" t="s">
        <v>567</v>
      </c>
      <c r="R117" t="s">
        <v>284</v>
      </c>
      <c r="S117" t="s">
        <v>568</v>
      </c>
      <c r="T117" t="s">
        <v>569</v>
      </c>
      <c r="U117" t="s">
        <v>569</v>
      </c>
      <c r="V117" t="s">
        <v>295</v>
      </c>
      <c r="X117">
        <v>1</v>
      </c>
      <c r="Y117" t="s">
        <v>577</v>
      </c>
      <c r="Z117">
        <v>1</v>
      </c>
      <c r="AA117">
        <v>0</v>
      </c>
      <c r="AB117" t="s">
        <v>555</v>
      </c>
      <c r="AD117" t="s">
        <v>1262</v>
      </c>
      <c r="AE117" t="s">
        <v>577</v>
      </c>
      <c r="AF117" t="s">
        <v>310</v>
      </c>
      <c r="AG117" t="s">
        <v>1286</v>
      </c>
      <c r="AH117" t="s">
        <v>1263</v>
      </c>
      <c r="AI117" t="s">
        <v>1264</v>
      </c>
      <c r="AJ117" t="s">
        <v>1258</v>
      </c>
    </row>
    <row r="118" spans="1:36" x14ac:dyDescent="0.2">
      <c r="A118" t="s">
        <v>273</v>
      </c>
      <c r="B118" s="1">
        <v>46043.726851851854</v>
      </c>
      <c r="C118" t="s">
        <v>1265</v>
      </c>
      <c r="D118" t="s">
        <v>1266</v>
      </c>
      <c r="E118" t="s">
        <v>1267</v>
      </c>
      <c r="F118" s="1">
        <v>46008.392534722225</v>
      </c>
      <c r="G118">
        <v>1</v>
      </c>
      <c r="H118">
        <v>0</v>
      </c>
      <c r="I118" t="s">
        <v>274</v>
      </c>
      <c r="J118" t="s">
        <v>32</v>
      </c>
      <c r="K118" t="s">
        <v>276</v>
      </c>
      <c r="L118" t="s">
        <v>630</v>
      </c>
      <c r="M118" t="s">
        <v>323</v>
      </c>
      <c r="N118" t="s">
        <v>564</v>
      </c>
      <c r="O118" t="s">
        <v>565</v>
      </c>
      <c r="P118" t="s">
        <v>566</v>
      </c>
      <c r="Q118" t="s">
        <v>567</v>
      </c>
      <c r="R118" t="s">
        <v>284</v>
      </c>
      <c r="S118" t="s">
        <v>568</v>
      </c>
      <c r="T118" t="s">
        <v>569</v>
      </c>
      <c r="U118" t="s">
        <v>569</v>
      </c>
      <c r="V118" t="s">
        <v>295</v>
      </c>
      <c r="X118">
        <v>1</v>
      </c>
      <c r="Y118" t="s">
        <v>582</v>
      </c>
      <c r="Z118">
        <v>1</v>
      </c>
      <c r="AA118">
        <v>0</v>
      </c>
      <c r="AB118" t="s">
        <v>555</v>
      </c>
      <c r="AD118" t="s">
        <v>1268</v>
      </c>
      <c r="AE118" t="s">
        <v>582</v>
      </c>
      <c r="AF118" t="s">
        <v>310</v>
      </c>
      <c r="AG118" t="s">
        <v>1286</v>
      </c>
      <c r="AH118" t="s">
        <v>1269</v>
      </c>
      <c r="AI118" t="s">
        <v>1270</v>
      </c>
      <c r="AJ118" t="s">
        <v>1258</v>
      </c>
    </row>
    <row r="119" spans="1:36" x14ac:dyDescent="0.2">
      <c r="A119" t="s">
        <v>273</v>
      </c>
      <c r="B119" s="1">
        <v>46021.579699074071</v>
      </c>
      <c r="C119" t="s">
        <v>1271</v>
      </c>
      <c r="D119" t="s">
        <v>1272</v>
      </c>
      <c r="E119" t="s">
        <v>1273</v>
      </c>
      <c r="F119" s="1">
        <v>46021.57130787037</v>
      </c>
      <c r="G119">
        <v>1</v>
      </c>
      <c r="H119">
        <v>0</v>
      </c>
      <c r="I119" t="s">
        <v>274</v>
      </c>
      <c r="J119" t="s">
        <v>32</v>
      </c>
      <c r="K119" t="s">
        <v>276</v>
      </c>
      <c r="L119" t="s">
        <v>630</v>
      </c>
      <c r="M119" t="s">
        <v>412</v>
      </c>
      <c r="N119" t="s">
        <v>578</v>
      </c>
      <c r="O119" t="s">
        <v>579</v>
      </c>
      <c r="P119" t="s">
        <v>580</v>
      </c>
      <c r="Q119" t="s">
        <v>283</v>
      </c>
      <c r="R119" t="s">
        <v>284</v>
      </c>
      <c r="S119" t="s">
        <v>568</v>
      </c>
      <c r="T119" t="s">
        <v>569</v>
      </c>
      <c r="U119" t="s">
        <v>569</v>
      </c>
      <c r="V119" t="s">
        <v>295</v>
      </c>
      <c r="X119">
        <v>1</v>
      </c>
      <c r="Y119" t="s">
        <v>581</v>
      </c>
      <c r="Z119">
        <v>1</v>
      </c>
      <c r="AA119">
        <v>0</v>
      </c>
      <c r="AB119" t="s">
        <v>555</v>
      </c>
      <c r="AD119" t="s">
        <v>1274</v>
      </c>
      <c r="AE119" t="s">
        <v>581</v>
      </c>
      <c r="AF119" t="s">
        <v>310</v>
      </c>
      <c r="AG119" t="s">
        <v>1286</v>
      </c>
      <c r="AH119" t="s">
        <v>1275</v>
      </c>
      <c r="AI119" t="s">
        <v>1276</v>
      </c>
      <c r="AJ119" t="s">
        <v>1258</v>
      </c>
    </row>
    <row r="120" spans="1:36" x14ac:dyDescent="0.2">
      <c r="A120" t="s">
        <v>273</v>
      </c>
      <c r="B120" s="1">
        <v>46048.518518518518</v>
      </c>
      <c r="C120" t="s">
        <v>1277</v>
      </c>
      <c r="D120" t="s">
        <v>1278</v>
      </c>
      <c r="E120" t="s">
        <v>1279</v>
      </c>
      <c r="F120" s="1">
        <v>46006.400509259256</v>
      </c>
      <c r="G120">
        <v>1</v>
      </c>
      <c r="H120">
        <v>0</v>
      </c>
      <c r="I120" t="s">
        <v>274</v>
      </c>
      <c r="J120" t="s">
        <v>32</v>
      </c>
      <c r="K120" t="s">
        <v>276</v>
      </c>
      <c r="L120" t="s">
        <v>630</v>
      </c>
      <c r="M120" t="s">
        <v>323</v>
      </c>
      <c r="N120" t="s">
        <v>574</v>
      </c>
      <c r="O120" t="s">
        <v>575</v>
      </c>
      <c r="P120" t="s">
        <v>295</v>
      </c>
      <c r="Q120" t="s">
        <v>299</v>
      </c>
      <c r="R120" t="s">
        <v>284</v>
      </c>
      <c r="S120" t="s">
        <v>568</v>
      </c>
      <c r="T120" t="s">
        <v>569</v>
      </c>
      <c r="U120" t="s">
        <v>569</v>
      </c>
      <c r="V120" t="s">
        <v>295</v>
      </c>
      <c r="X120">
        <v>1</v>
      </c>
      <c r="Y120" t="s">
        <v>576</v>
      </c>
      <c r="Z120">
        <v>1</v>
      </c>
      <c r="AA120">
        <v>0</v>
      </c>
      <c r="AB120" t="s">
        <v>555</v>
      </c>
      <c r="AD120" t="s">
        <v>1280</v>
      </c>
      <c r="AE120" t="s">
        <v>576</v>
      </c>
      <c r="AF120" t="s">
        <v>310</v>
      </c>
      <c r="AG120" t="s">
        <v>1286</v>
      </c>
      <c r="AH120" t="s">
        <v>1281</v>
      </c>
      <c r="AI120" t="s">
        <v>1282</v>
      </c>
      <c r="AJ120" t="s">
        <v>1258</v>
      </c>
    </row>
  </sheetData>
  <autoFilter ref="A1:AJ120" xr:uid="{509857F2-08B6-44AC-AC17-2EBAB982A7E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52A8-9007-4439-A6E8-53E316FE1834}">
  <dimension ref="B2:B4"/>
  <sheetViews>
    <sheetView workbookViewId="0">
      <selection activeCell="D14" sqref="D14"/>
    </sheetView>
  </sheetViews>
  <sheetFormatPr baseColWidth="10" defaultColWidth="8.83203125" defaultRowHeight="15" x14ac:dyDescent="0.2"/>
  <sheetData>
    <row r="2" spans="2:2" x14ac:dyDescent="0.2">
      <c r="B2" t="s">
        <v>1365</v>
      </c>
    </row>
    <row r="4" spans="2:2" x14ac:dyDescent="0.2">
      <c r="B4" t="s">
        <v>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Связи</vt:lpstr>
      <vt:lpstr>b_crm_deal</vt:lpstr>
      <vt:lpstr>b_uts_crm_deal</vt:lpstr>
      <vt:lpstr>doc_OrderSales</vt:lpstr>
      <vt:lpstr>doc_Sales</vt:lpstr>
      <vt:lpstr>spr_partners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Дергачев Кирилл Олегович</dc:creator>
  <cp:lastModifiedBy>1772626@gmail.com</cp:lastModifiedBy>
  <dcterms:created xsi:type="dcterms:W3CDTF">2015-06-05T18:19:34Z</dcterms:created>
  <dcterms:modified xsi:type="dcterms:W3CDTF">2026-04-21T09:57:34Z</dcterms:modified>
</cp:coreProperties>
</file>